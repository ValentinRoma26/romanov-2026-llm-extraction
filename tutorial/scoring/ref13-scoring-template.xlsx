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3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① Start Here" sheetId="1" state="visible" r:id="rId3"/>
    <sheet name="Run 1" sheetId="2" state="visible" r:id="rId4"/>
    <sheet name="Run 2" sheetId="3" state="visible" r:id="rId5"/>
    <sheet name="Run 3" sheetId="4" state="visible" r:id="rId6"/>
    <sheet name="Run 4" sheetId="5" state="visible" r:id="rId7"/>
    <sheet name="Run 5" sheetId="6" state="visible" r:id="rId8"/>
    <sheet name="Scoreboard" sheetId="7" state="visible" r:id="rId9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<sst xmlns="http://schemas.openxmlformats.org/spreadsheetml/2006/main" count="415" uniqueCount="83">
  <si>
    <t xml:space="preserve">ref13 scoring template</t>
  </si>
  <si>
    <t xml:space="preserve">Paste one model answer for ref13 into a Run tab. The workbook compares its 42 fields with the six-row benchmark.</t>
  </si>
  <si>
    <t xml:space="preserve">HOW TO USE IT</t>
  </si>
  <si>
    <t xml:space="preserve">1.  Go to the 'Run 1' tab.</t>
  </si>
  <si>
    <t xml:space="preserve">2.  Match each model row to the grey benchmark row with the same complex and Mg condition.</t>
  </si>
  <si>
    <t xml:space="preserve">3.  Paste the model's 7 scored values into blue cells. Ignore Ref., Nuance, calculation, and quote columns.</t>
  </si>
  <si>
    <t xml:space="preserve">4.  Green cells show 1 (match) or 0 (miss). Auto /7 totals the seven checks.</t>
  </si>
  <si>
    <t xml:space="preserve">5.  The checker accepts common units and punctuation. If a true equivalent still scores 0,</t>
  </si>
  <si>
    <t xml:space="preserve">     enter a corrected whole-row score from 0 to 7 in the yellow Your /7 cell.</t>
  </si>
  <si>
    <t xml:space="preserve">6.  Quick path: complete Run 1. Full path: repeat in fresh chats for Runs 2–5.</t>
  </si>
  <si>
    <t xml:space="preserve">7.  Scoreboard shows accuracy for completed runs. Consistency appears after all 5 runs.</t>
  </si>
  <si>
    <t xml:space="preserve">GOOD TO KNOW</t>
  </si>
  <si>
    <t xml:space="preserve">•  Use the workbook on screen; its Run tabs are too wide for useful printing.</t>
  </si>
  <si>
    <t xml:space="preserve">•  The target is Table I's six K2 rows: TnC, TnI·TnC, and Reconstituted Tn.</t>
  </si>
  <si>
    <t xml:space="preserve">•  Ignore extra high-affinity K1 rows. Record their count in the yellow box if useful.</t>
  </si>
  <si>
    <t xml:space="preserve">•  The Scoreboard says Incomplete until every blue cell in a run is filled.</t>
  </si>
  <si>
    <t xml:space="preserve">•  If the answer is not one clean table, use prompts/2-normalizer-prompt.md first.</t>
  </si>
  <si>
    <t xml:space="preserve">•  Edit only blue and yellow cells.</t>
  </si>
  <si>
    <t xml:space="preserve">RUN 1</t>
  </si>
  <si>
    <t xml:space="preserve">Paste the model's seven values into BLUE cells. Fill all 42 blue cells; GREEN cells check them.</t>
  </si>
  <si>
    <t xml:space="preserve">BENCHMARK — do not edit</t>
  </si>
  <si>
    <t xml:space="preserve">YOUR MODEL — paste values here</t>
  </si>
  <si>
    <t xml:space="preserve">AUTO-CHECK (rough — you have the final say)</t>
  </si>
  <si>
    <t xml:space="preserve">SCORE</t>
  </si>
  <si>
    <t xml:space="preserve">Row</t>
  </si>
  <si>
    <t xml:space="preserve">Species</t>
  </si>
  <si>
    <t xml:space="preserve">Temp (°C)</t>
  </si>
  <si>
    <t xml:space="preserve">Troponin complex</t>
  </si>
  <si>
    <t xml:space="preserve">Bound Ca2+ measure</t>
  </si>
  <si>
    <t xml:space="preserve">Mg (mM)</t>
  </si>
  <si>
    <t xml:space="preserve">Kd (M^-1)</t>
  </si>
  <si>
    <t xml:space="preserve">K (µM)</t>
  </si>
  <si>
    <t xml:space="preserve">Auto /7</t>
  </si>
  <si>
    <t xml:space="preserve">Your /7 (edit only if you disagree)</t>
  </si>
  <si>
    <t xml:space="preserve">Final /7</t>
  </si>
  <si>
    <t xml:space="preserve">norm(GT):Species</t>
  </si>
  <si>
    <t xml:space="preserve">norm(GT):Temp (°C)</t>
  </si>
  <si>
    <t xml:space="preserve">norm(GT):Troponin complex</t>
  </si>
  <si>
    <t xml:space="preserve">norm(GT):Bound Ca2+ measure</t>
  </si>
  <si>
    <t xml:space="preserve">norm(GT):Mg (mM)</t>
  </si>
  <si>
    <t xml:space="preserve">norm(GT):Kd (M^-1)</t>
  </si>
  <si>
    <t xml:space="preserve">norm(GT):K (µM)</t>
  </si>
  <si>
    <t xml:space="preserve">norm(you):Species</t>
  </si>
  <si>
    <t xml:space="preserve">norm(you):Temp (°C)</t>
  </si>
  <si>
    <t xml:space="preserve">norm(you):Troponin complex</t>
  </si>
  <si>
    <t xml:space="preserve">norm(you):Bound Ca2+ measure</t>
  </si>
  <si>
    <t xml:space="preserve">norm(you):Mg (mM)</t>
  </si>
  <si>
    <t xml:space="preserve">norm(you):Kd (M^-1)</t>
  </si>
  <si>
    <t xml:space="preserve">norm(you):K (µM)</t>
  </si>
  <si>
    <t xml:space="preserve">Bovine</t>
  </si>
  <si>
    <t xml:space="preserve">TnC</t>
  </si>
  <si>
    <t xml:space="preserve">SC</t>
  </si>
  <si>
    <t xml:space="preserve">None</t>
  </si>
  <si>
    <t xml:space="preserve">2.5 x 10^5</t>
  </si>
  <si>
    <t xml:space="preserve">TnI·TnC</t>
  </si>
  <si>
    <t xml:space="preserve">1 x 10^6</t>
  </si>
  <si>
    <t xml:space="preserve">Reconstituted Tn</t>
  </si>
  <si>
    <t xml:space="preserve">2.5 x 10^6</t>
  </si>
  <si>
    <t xml:space="preserve">RUN TOTAL:</t>
  </si>
  <si>
    <t xml:space="preserve">out of 42</t>
  </si>
  <si>
    <t xml:space="preserve">Accuracy % →</t>
  </si>
  <si>
    <t xml:space="preserve">Extra rows your model produced beyond these 6 (optional, for feedback):</t>
  </si>
  <si>
    <t xml:space="preserve">RUN 2</t>
  </si>
  <si>
    <t xml:space="preserve">RUN 3</t>
  </si>
  <si>
    <t xml:space="preserve">RUN 4</t>
  </si>
  <si>
    <t xml:space="preserve">RUN 5</t>
  </si>
  <si>
    <t xml:space="preserve">Scoreboard</t>
  </si>
  <si>
    <t xml:space="preserve">Accuracy against the benchmark (how correct)</t>
  </si>
  <si>
    <t xml:space="preserve">Run</t>
  </si>
  <si>
    <t xml:space="preserve">Fields correct /42</t>
  </si>
  <si>
    <t xml:space="preserve">Accuracy %</t>
  </si>
  <si>
    <t xml:space="preserve">Run 1</t>
  </si>
  <si>
    <t xml:space="preserve">Run 2</t>
  </si>
  <si>
    <t xml:space="preserve">Run 3</t>
  </si>
  <si>
    <t xml:space="preserve">Run 4</t>
  </si>
  <si>
    <t xml:space="preserve">Run 5</t>
  </si>
  <si>
    <t xml:space="preserve">Average (completed runs)</t>
  </si>
  <si>
    <t xml:space="preserve">Consistency across runs (how repeatable)</t>
  </si>
  <si>
    <t xml:space="preserve">Of the 42 fields, the share where all five completed runs gave the same normalized value.</t>
  </si>
  <si>
    <t xml:space="preserve">Consistent fields:</t>
  </si>
  <si>
    <t xml:space="preserve">Fields compared:</t>
  </si>
  <si>
    <t xml:space="preserve">Consistency %:</t>
  </si>
  <si>
    <t xml:space="preserve">(Consistency appears only after all five runs are complete.)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</si>
</sst>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_-* #,##0.00_-;\-* #,##0.00_-;_-* \-??_-;_-@_-"/>
    <numFmt numFmtId="166" formatCode="_-* #,##0.00_-;\-* #,##0.00_-;_-* \-??_-;_-@_-"/>
    <numFmt numFmtId="167" formatCode="_-* #,##0_-;\-* #,##0_-;_-* \-_-;_-@_-"/>
    <numFmt numFmtId="168" formatCode="_-* #,##0_-;\-* #,##0_-;_-* \-_-;_-@_-"/>
    <numFmt numFmtId="169" formatCode="_-\$* #,##0.00_-;&quot;-$&quot;* #,##0.00_-;_-\$* \-??_-;_-@_-"/>
    <numFmt numFmtId="170" formatCode="_-\$* #,##0.00_-;&quot;-$&quot;* #,##0.00_-;_-\$* \-??_-;_-@_-"/>
    <numFmt numFmtId="171" formatCode="_-\$* #,##0_-;&quot;-$&quot;* #,##0_-;_-\$* \-_-;_-@_-"/>
    <numFmt numFmtId="172" formatCode="_-\$* #,##0_-;&quot;-$&quot;* #,##0_-;_-\$* \-_-;_-@_-"/>
    <numFmt numFmtId="173" formatCode="0%"/>
  </numFmts>
  <fonts count="10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  <charset val="1"/>
    </font>
    <font>
      <sz val="11"/>
      <color theme="1"/>
      <name val="Calibri"/>
      <family val="0"/>
      <charset val="1"/>
    </font>
    <font>
      <b val="true"/>
      <sz val="14"/>
      <color rgb="FF1F3864"/>
      <name val="Cambria"/>
      <family val="0"/>
      <charset val="1"/>
    </font>
    <font>
      <b val="true"/>
      <sz val="11"/>
      <name val="Cambria"/>
      <family val="0"/>
      <charset val="1"/>
    </font>
    <font>
      <i val="true"/>
      <sz val="10"/>
      <color rgb="FF595959"/>
      <name val="Cambria"/>
      <family val="0"/>
      <charset val="1"/>
    </font>
    <font>
      <b val="true"/>
      <sz val="10"/>
      <color rgb="FFFFFFFF"/>
      <name val="Cambria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C9CDD6"/>
        <bgColor rgb="FFBDD7EE"/>
      </patternFill>
    </fill>
    <fill>
      <patternFill patternType="solid">
        <fgColor rgb="FFBDD7EE"/>
        <bgColor rgb="FFC9CDD6"/>
      </patternFill>
    </fill>
    <fill>
      <patternFill patternType="solid">
        <fgColor rgb="FFE2EFDA"/>
        <bgColor rgb="FFDEEBF7"/>
      </patternFill>
    </fill>
    <fill>
      <patternFill patternType="solid">
        <fgColor rgb="FF1F3864"/>
        <bgColor rgb="FF333333"/>
      </patternFill>
    </fill>
    <fill>
      <patternFill patternType="solid">
        <fgColor rgb="FFF2F2F2"/>
        <bgColor rgb="FFE2EFDA"/>
      </patternFill>
    </fill>
    <fill>
      <patternFill patternType="solid">
        <fgColor rgb="FFDEEBF7"/>
        <bgColor rgb="FFE2EFDA"/>
      </patternFill>
    </fill>
    <fill>
      <patternFill patternType="solid">
        <fgColor rgb="FFFFF2CC"/>
        <bgColor rgb="FFF2F2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3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4" fillId="0" borderId="0" applyFont="true" applyBorder="false" applyAlignment="false" applyProtection="false"/>
    <xf numFmtId="166" fontId="4" fillId="0" borderId="0" applyFont="true" applyBorder="false" applyAlignment="false" applyProtection="false"/>
    <xf numFmtId="167" fontId="4" fillId="0" borderId="0" applyFont="true" applyBorder="false" applyAlignment="false" applyProtection="false"/>
    <xf numFmtId="168" fontId="4" fillId="0" borderId="0" applyFont="true" applyBorder="false" applyAlignment="false" applyProtection="false"/>
    <xf numFmtId="169" fontId="4" fillId="0" borderId="0" applyFont="true" applyBorder="false" applyAlignment="false" applyProtection="false"/>
    <xf numFmtId="170" fontId="4" fillId="0" borderId="0" applyFont="true" applyBorder="false" applyAlignment="false" applyProtection="false"/>
    <xf numFmtId="171" fontId="4" fillId="0" borderId="0" applyFont="true" applyBorder="false" applyAlignment="false" applyProtection="false"/>
    <xf numFmtId="172" fontId="4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3" fontId="4" fillId="0" borderId="0" applyFont="true" applyBorder="false" applyAlignment="false" applyProtection="false"/>
    <xf numFmtId="173" fontId="4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29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29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29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29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3" borderId="0" xfId="29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4" borderId="0" xfId="29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3" borderId="0" xfId="29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5" borderId="0" xfId="29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5" borderId="1" xfId="29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29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6" borderId="1" xfId="29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7" borderId="1" xfId="29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29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8" borderId="1" xfId="29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29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7" fillId="0" borderId="0" xfId="29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5" borderId="1" xfId="29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3" fontId="5" fillId="0" borderId="1" xfId="29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73" fontId="7" fillId="0" borderId="0" xfId="29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1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omma" xfId="20"/>
    <cellStyle name="Comma 1" xfId="21"/>
    <cellStyle name="Comma [0]" xfId="22"/>
    <cellStyle name="Comma [0] 2" xfId="23"/>
    <cellStyle name="Currency" xfId="24"/>
    <cellStyle name="Currency 3" xfId="25"/>
    <cellStyle name="Currency [0]" xfId="26"/>
    <cellStyle name="Currency [0] 4" xfId="27"/>
    <cellStyle name="Normal" xfId="28"/>
    <cellStyle name="Normal 1" xfId="29"/>
    <cellStyle name="Normal 5" xfId="30"/>
    <cellStyle name="Percent" xfId="31"/>
    <cellStyle name="Percent 6" xfId="32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9CDD6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B0B0B0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B2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00"/>
  </cols>
  <sheetData>
    <row r="2" customFormat="false" ht="17.35" hidden="false" customHeight="false" outlineLevel="0" collapsed="false">
      <c r="B2" s="1" t="s">
        <v>0</v>
      </c>
    </row>
    <row r="4" customFormat="false" ht="15" hidden="false" customHeight="false" outlineLevel="0" collapsed="false">
      <c r="B4" s="0" t="s">
        <v>1</v>
      </c>
    </row>
    <row r="6" customFormat="false" ht="15" hidden="false" customHeight="false" outlineLevel="0" collapsed="false">
      <c r="B6" s="2" t="s">
        <v>2</v>
      </c>
    </row>
    <row r="8" customFormat="false" ht="15" hidden="false" customHeight="false" outlineLevel="0" collapsed="false">
      <c r="B8" s="0" t="s">
        <v>3</v>
      </c>
    </row>
    <row r="9" customFormat="false" ht="15" hidden="false" customHeight="false" outlineLevel="0" collapsed="false">
      <c r="B9" s="0" t="s">
        <v>4</v>
      </c>
    </row>
    <row r="10" customFormat="false" ht="15" hidden="false" customHeight="false" outlineLevel="0" collapsed="false">
      <c r="B10" s="0" t="s">
        <v>5</v>
      </c>
    </row>
    <row r="11" customFormat="false" ht="15" hidden="false" customHeight="false" outlineLevel="0" collapsed="false">
      <c r="B11" s="0" t="s">
        <v>6</v>
      </c>
    </row>
    <row r="12" customFormat="false" ht="15" hidden="false" customHeight="false" outlineLevel="0" collapsed="false">
      <c r="B12" s="0" t="s">
        <v>7</v>
      </c>
    </row>
    <row r="13" customFormat="false" ht="15" hidden="false" customHeight="false" outlineLevel="0" collapsed="false">
      <c r="B13" s="0" t="s">
        <v>8</v>
      </c>
    </row>
    <row r="14" customFormat="false" ht="15" hidden="false" customHeight="false" outlineLevel="0" collapsed="false">
      <c r="B14" s="0" t="s">
        <v>9</v>
      </c>
    </row>
    <row r="16" customFormat="false" ht="15" hidden="false" customHeight="false" outlineLevel="0" collapsed="false">
      <c r="B16" s="0" t="s">
        <v>10</v>
      </c>
    </row>
    <row r="19" customFormat="false" ht="15" hidden="false" customHeight="false" outlineLevel="0" collapsed="false">
      <c r="B19" s="0" t="s">
        <v>11</v>
      </c>
    </row>
    <row r="20" customFormat="false" ht="15" hidden="false" customHeight="false" outlineLevel="0" collapsed="false">
      <c r="B20" s="0" t="s">
        <v>12</v>
      </c>
    </row>
    <row r="21" customFormat="false" ht="15" hidden="false" customHeight="false" outlineLevel="0" collapsed="false">
      <c r="B21" s="0" t="s">
        <v>13</v>
      </c>
    </row>
    <row r="22" customFormat="false" ht="15" hidden="false" customHeight="false" outlineLevel="0" collapsed="false">
      <c r="B22" s="0" t="s">
        <v>14</v>
      </c>
    </row>
    <row r="23" customFormat="false" ht="15" hidden="false" customHeight="false" outlineLevel="0" collapsed="false">
      <c r="B23" s="2" t="s">
        <v>15</v>
      </c>
    </row>
    <row r="24" customFormat="false" ht="15" hidden="false" customHeight="false" outlineLevel="0" collapsed="false">
      <c r="B24" s="0" t="s">
        <v>16</v>
      </c>
    </row>
    <row r="25" customFormat="false" ht="15" hidden="false" customHeight="false" outlineLevel="0" collapsed="false">
      <c r="B25" s="0" t="s">
        <v>17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Q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"/>
    <col collapsed="false" customWidth="true" hidden="false" outlineLevel="0" max="8" min="2" style="0" width="13"/>
    <col collapsed="false" customWidth="true" hidden="false" outlineLevel="0" max="9" min="9" style="0" width="2"/>
    <col collapsed="false" customWidth="true" hidden="false" outlineLevel="0" max="16" min="10" style="0" width="15"/>
    <col collapsed="false" customWidth="true" hidden="false" outlineLevel="0" max="17" min="17" style="0" width="2"/>
    <col collapsed="false" customWidth="true" hidden="false" outlineLevel="0" max="24" min="18" style="0" width="6"/>
    <col collapsed="false" customWidth="true" hidden="false" outlineLevel="0" max="25" min="25" style="0" width="8"/>
    <col collapsed="false" customWidth="true" hidden="false" outlineLevel="0" max="26" min="26" style="0" width="14"/>
    <col collapsed="false" customWidth="true" hidden="false" outlineLevel="0" max="27" min="27" style="0" width="9"/>
    <col collapsed="false" customWidth="true" hidden="true" outlineLevel="0" max="35" min="29" style="0" width="13"/>
    <col collapsed="false" customWidth="true" hidden="true" outlineLevel="0" max="43" min="37" style="0" width="13"/>
  </cols>
  <sheetData>
    <row r="1" customFormat="false" ht="17.35" hidden="false" customHeight="false" outlineLevel="0" collapsed="false">
      <c r="A1" s="1" t="s">
        <v>18</v>
      </c>
      <c r="C1" s="3" t="s">
        <v>19</v>
      </c>
    </row>
    <row r="2" customFormat="false" ht="15" hidden="false" customHeight="false" outlineLevel="0" collapsed="false">
      <c r="B2" s="4" t="s">
        <v>20</v>
      </c>
      <c r="C2" s="4"/>
      <c r="D2" s="4"/>
      <c r="E2" s="4"/>
      <c r="F2" s="4"/>
      <c r="G2" s="4"/>
      <c r="H2" s="4"/>
      <c r="J2" s="5" t="s">
        <v>21</v>
      </c>
      <c r="K2" s="5"/>
      <c r="L2" s="5"/>
      <c r="M2" s="5"/>
      <c r="N2" s="5"/>
      <c r="O2" s="5"/>
      <c r="P2" s="5"/>
      <c r="R2" s="6" t="s">
        <v>22</v>
      </c>
      <c r="S2" s="6"/>
      <c r="T2" s="6"/>
      <c r="U2" s="6"/>
      <c r="V2" s="6"/>
      <c r="W2" s="6"/>
      <c r="X2" s="6"/>
      <c r="Y2" s="7" t="s">
        <v>23</v>
      </c>
    </row>
    <row r="3" customFormat="false" ht="30" hidden="false" customHeight="true" outlineLevel="0" collapsed="false">
      <c r="A3" s="8" t="s">
        <v>24</v>
      </c>
      <c r="B3" s="9" t="s">
        <v>25</v>
      </c>
      <c r="C3" s="9" t="s">
        <v>26</v>
      </c>
      <c r="D3" s="9" t="s">
        <v>27</v>
      </c>
      <c r="E3" s="9" t="s">
        <v>28</v>
      </c>
      <c r="F3" s="9" t="s">
        <v>29</v>
      </c>
      <c r="G3" s="9" t="s">
        <v>30</v>
      </c>
      <c r="H3" s="9" t="s">
        <v>31</v>
      </c>
      <c r="J3" s="9" t="s">
        <v>25</v>
      </c>
      <c r="K3" s="9" t="s">
        <v>26</v>
      </c>
      <c r="L3" s="9" t="s">
        <v>27</v>
      </c>
      <c r="M3" s="9" t="s">
        <v>28</v>
      </c>
      <c r="N3" s="9" t="s">
        <v>29</v>
      </c>
      <c r="O3" s="9" t="s">
        <v>30</v>
      </c>
      <c r="P3" s="9" t="s">
        <v>31</v>
      </c>
      <c r="R3" s="9" t="s">
        <v>25</v>
      </c>
      <c r="S3" s="9" t="s">
        <v>26</v>
      </c>
      <c r="T3" s="9" t="s">
        <v>27</v>
      </c>
      <c r="U3" s="9" t="s">
        <v>28</v>
      </c>
      <c r="V3" s="9" t="s">
        <v>29</v>
      </c>
      <c r="W3" s="9" t="s">
        <v>30</v>
      </c>
      <c r="X3" s="9" t="s">
        <v>31</v>
      </c>
      <c r="Y3" s="8" t="s">
        <v>32</v>
      </c>
      <c r="Z3" s="8" t="s">
        <v>33</v>
      </c>
      <c r="AA3" s="8" t="s">
        <v>34</v>
      </c>
      <c r="AC3" s="0" t="s">
        <v>35</v>
      </c>
      <c r="AD3" s="0" t="s">
        <v>36</v>
      </c>
      <c r="AE3" s="0" t="s">
        <v>37</v>
      </c>
      <c r="AF3" s="0" t="s">
        <v>38</v>
      </c>
      <c r="AG3" s="0" t="s">
        <v>39</v>
      </c>
      <c r="AH3" s="0" t="s">
        <v>40</v>
      </c>
      <c r="AI3" s="0" t="s">
        <v>41</v>
      </c>
      <c r="AK3" s="0" t="s">
        <v>42</v>
      </c>
      <c r="AL3" s="0" t="s">
        <v>43</v>
      </c>
      <c r="AM3" s="0" t="s">
        <v>44</v>
      </c>
      <c r="AN3" s="0" t="s">
        <v>45</v>
      </c>
      <c r="AO3" s="0" t="s">
        <v>46</v>
      </c>
      <c r="AP3" s="0" t="s">
        <v>47</v>
      </c>
      <c r="AQ3" s="0" t="s">
        <v>48</v>
      </c>
    </row>
    <row r="4" customFormat="false" ht="15" hidden="false" customHeight="false" outlineLevel="0" collapsed="false">
      <c r="A4" s="10" t="n">
        <v>1</v>
      </c>
      <c r="B4" s="11" t="s">
        <v>49</v>
      </c>
      <c r="C4" s="11" t="n">
        <v>4</v>
      </c>
      <c r="D4" s="11" t="s">
        <v>50</v>
      </c>
      <c r="E4" s="11" t="s">
        <v>51</v>
      </c>
      <c r="F4" s="11" t="s">
        <v>52</v>
      </c>
      <c r="G4" s="11" t="s">
        <v>53</v>
      </c>
      <c r="H4" s="11" t="n">
        <v>4</v>
      </c>
      <c r="J4" s="12"/>
      <c r="K4" s="12"/>
      <c r="L4" s="12"/>
      <c r="M4" s="12"/>
      <c r="N4" s="12"/>
      <c r="O4" s="12"/>
      <c r="P4" s="12"/>
      <c r="R4" s="13" t="n">
        <f aca="false">IF(J4="",0,IF(EXACT($AC4,$AK4),1,0))</f>
        <v>0</v>
      </c>
      <c r="S4" s="13" t="n">
        <f aca="false">IF(K4="",0,IF(EXACT($AD4,$AL4),1,0))</f>
        <v>0</v>
      </c>
      <c r="T4" s="13" t="n">
        <f aca="false">IF(L4="",0,IF(EXACT($AE4,$AM4),1,0))</f>
        <v>0</v>
      </c>
      <c r="U4" s="13" t="n">
        <f aca="false">IF(M4="",0,IF(EXACT($AF4,$AN4),1,0))</f>
        <v>0</v>
      </c>
      <c r="V4" s="13" t="n">
        <f aca="false">IF(N4="",0,IF(EXACT($AG4,$AO4),1,0))</f>
        <v>0</v>
      </c>
      <c r="W4" s="13" t="n">
        <f aca="false">IF(O4="",0,IF(EXACT($AH4,$AP4),1,0))</f>
        <v>0</v>
      </c>
      <c r="X4" s="13" t="n">
        <f aca="false">IF(P4="",0,IF(EXACT($AI4,$AQ4),1,0))</f>
        <v>0</v>
      </c>
      <c r="Y4" s="13" t="str">
        <f aca="false">IF(COUNTA(J4:P4)&lt;7,"",SUM(R4:X4))</f>
        <v/>
      </c>
      <c r="Z4" s="14"/>
      <c r="AA4" s="13" t="str">
        <f aca="false">IF(COUNTA(J4:P4)&lt;7,"",IF(Z4="",Y4,Z4))</f>
        <v/>
      </c>
      <c r="AC4" s="0" t="str">
        <f aca="false">IF(IFERROR(SEARCH("bovine",LOWER(B4&amp;"")),0)&gt;0,"bovine",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B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",""),"k1=",""),"k2=",""),"k3=",""),"ka=",""),"kd=",""),"k=",""),"°c",""),"degc",""),"m-1",""),"micromolar",""),"um",""),"(",""),")","")),"cardiac",""),"heart",""),"muscle",""))</f>
        <v>bovine</v>
      </c>
      <c r="AD4" s="0" t="str">
        <f aca="false">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C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",""),"k1=",""),"k2=",""),"k3=",""),"ka=",""),"kd=",""),"k=",""),"°c",""),"degc",""),"m-1",""),"micromolar",""),"um",""),"(",""),")","")),"c","")</f>
        <v>4</v>
      </c>
      <c r="AE4" s="0" t="str">
        <f aca="false">IF(AND(IFERROR(SEARCH("tnc",LOWER(D4&amp;"")),0)&gt;0,IFERROR(SEARCH("tni",LOWER(D4&amp;"")),0)&gt;0),"tnitnc",IF(IFERROR(SEARCH("tnc",LOWER(D4&amp;"")),0)&gt;0,"tnc",IF(IFERROR(SEARCH("tn",LOWER(D4&amp;"")),0)&gt;0,"tn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D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",""),"k1=",""),"k2=",""),"k3=",""),"ka=",""),"kd=",""),"k=",""),"°c",""),"degc",""),"m-1",""),"micromolar",""),"um",""),"(",""),")","")),"-",""),"/",""),"reconstituted",""),"complex",""))))</f>
        <v>tnc</v>
      </c>
      <c r="AF4" s="0" t="str">
        <f aca="false">IF(OR(IFERROR(SEARCH("scintillation",LOWER(E4&amp;"")),0)&gt;0,IFERROR(SEARCH("equilibrium dialysis",LOWER(E4&amp;"")),0)&gt;0),"sc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E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",""),"k1=",""),"k2=",""),"k3=",""),"ka=",""),"kd=",""),"k=",""),"°c",""),"degc",""),"m-1",""),"micromolar",""),"um",""),"(",""),")","")))</f>
        <v>sc</v>
      </c>
      <c r="AG4" s="0" t="str">
        <f aca="false">IF(OR(IFERROR(SEARCH("no added",LOWER(F4&amp;"")),0)&gt;0,IFERROR(SEARCH("not added",LOWER(F4&amp;"")),0)&gt;0,IFERROR(SEARCH("absence",LOWER(F4&amp;"")),0)&gt;0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0.001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-3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-6m"),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",""),"k1=",""),"k2=",""),"k3=",""),"ka=",""),"kd=",""),"k=",""),"°c",""),"degc",""),"m-1",""),"micromolar",""),"um",""),"(",""),")","")),"mgcl2",""),"mg2+",""),"magnesium",""),"mm",""))</f>
        <v>none</v>
      </c>
      <c r="AH4" s="0" t="str">
        <f aca="false">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G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",""),"k1=",""),"k2=",""),"k3=",""),"ka=",""),"kd=",""),"k=",""),"°c",""),"degc",""),"m-1",""),"micromolar",""),"um",""),"(",""),")","")),"e","x10"),"+","")</f>
        <v>2.5x105</v>
      </c>
      <c r="AI4" s="0" t="str">
        <f aca="false">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H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</f>
        <v>4</v>
      </c>
      <c r="AK4" s="0" t="str">
        <f aca="false">IF(IFERROR(SEARCH("bovine",LOWER(J4&amp;"")),0)&gt;0,"bovine",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J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",""),"k1=",""),"k2=",""),"k3=",""),"ka=",""),"kd=",""),"k=",""),"°c",""),"degc",""),"m-1",""),"micromolar",""),"um",""),"(",""),")","")),"cardiac",""),"heart",""),"muscle",""))</f>
        <v/>
      </c>
      <c r="AL4" s="0" t="str">
        <f aca="false">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K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",""),"k1=",""),"k2=",""),"k3=",""),"ka=",""),"kd=",""),"k=",""),"°c",""),"degc",""),"m-1",""),"micromolar",""),"um",""),"(",""),")","")),"c","")</f>
        <v/>
      </c>
      <c r="AM4" s="0" t="str">
        <f aca="false">IF(AND(IFERROR(SEARCH("tnc",LOWER(L4&amp;"")),0)&gt;0,IFERROR(SEARCH("tni",LOWER(L4&amp;"")),0)&gt;0),"tnitnc",IF(IFERROR(SEARCH("tnc",LOWER(L4&amp;"")),0)&gt;0,"tnc",IF(IFERROR(SEARCH("tn",LOWER(L4&amp;"")),0)&gt;0,"tn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L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",""),"k1=",""),"k2=",""),"k3=",""),"ka=",""),"kd=",""),"k=",""),"°c",""),"degc",""),"m-1",""),"micromolar",""),"um",""),"(",""),")","")),"-",""),"/",""),"reconstituted",""),"complex",""))))</f>
        <v/>
      </c>
      <c r="AN4" s="0" t="str">
        <f aca="false">IF(OR(IFERROR(SEARCH("scintillation",LOWER(M4&amp;"")),0)&gt;0,IFERROR(SEARCH("equilibrium dialysis",LOWER(M4&amp;"")),0)&gt;0),"sc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M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",""),"k1=",""),"k2=",""),"k3=",""),"ka=",""),"kd=",""),"k=",""),"°c",""),"degc",""),"m-1",""),"micromolar",""),"um",""),"(",""),")","")))</f>
        <v/>
      </c>
      <c r="AO4" s="0" t="str">
        <f aca="false">IF(OR(IFERROR(SEARCH("no added",LOWER(N4&amp;"")),0)&gt;0,IFERROR(SEARCH("not added",LOWER(N4&amp;"")),0)&gt;0,IFERROR(SEARCH("absence",LOWER(N4&amp;"")),0)&gt;0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0.001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-3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-6m"),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",""),"k1=",""),"k2=",""),"k3=",""),"ka=",""),"kd=",""),"k=",""),"°c",""),"degc",""),"m-1",""),"micromolar",""),"um",""),"(",""),")","")),"mgcl2",""),"mg2+",""),"magnesium",""),"mm",""))</f>
        <v/>
      </c>
      <c r="AP4" s="0" t="str">
        <f aca="false">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O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",""),"k1=",""),"k2=",""),"k3=",""),"ka=",""),"kd=",""),"k=",""),"°c",""),"degc",""),"m-1",""),"micromolar",""),"um",""),"(",""),")","")),"e","x10"),"+","")</f>
        <v/>
      </c>
      <c r="AQ4" s="0" t="str">
        <f aca="false">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P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</f>
        <v/>
      </c>
    </row>
    <row r="5" customFormat="false" ht="15" hidden="false" customHeight="false" outlineLevel="0" collapsed="false">
      <c r="A5" s="10" t="n">
        <v>2</v>
      </c>
      <c r="B5" s="11" t="s">
        <v>49</v>
      </c>
      <c r="C5" s="11" t="n">
        <v>4</v>
      </c>
      <c r="D5" s="11" t="s">
        <v>50</v>
      </c>
      <c r="E5" s="11" t="s">
        <v>51</v>
      </c>
      <c r="F5" s="11" t="n">
        <v>4</v>
      </c>
      <c r="G5" s="11" t="s">
        <v>53</v>
      </c>
      <c r="H5" s="11" t="n">
        <v>4</v>
      </c>
      <c r="J5" s="12"/>
      <c r="K5" s="12"/>
      <c r="L5" s="12"/>
      <c r="M5" s="12"/>
      <c r="N5" s="12"/>
      <c r="O5" s="12"/>
      <c r="P5" s="12"/>
      <c r="R5" s="13" t="n">
        <f aca="false">IF(J5="",0,IF(EXACT($AC5,$AK5),1,0))</f>
        <v>0</v>
      </c>
      <c r="S5" s="13" t="n">
        <f aca="false">IF(K5="",0,IF(EXACT($AD5,$AL5),1,0))</f>
        <v>0</v>
      </c>
      <c r="T5" s="13" t="n">
        <f aca="false">IF(L5="",0,IF(EXACT($AE5,$AM5),1,0))</f>
        <v>0</v>
      </c>
      <c r="U5" s="13" t="n">
        <f aca="false">IF(M5="",0,IF(EXACT($AF5,$AN5),1,0))</f>
        <v>0</v>
      </c>
      <c r="V5" s="13" t="n">
        <f aca="false">IF(N5="",0,IF(EXACT($AG5,$AO5),1,0))</f>
        <v>0</v>
      </c>
      <c r="W5" s="13" t="n">
        <f aca="false">IF(O5="",0,IF(EXACT($AH5,$AP5),1,0))</f>
        <v>0</v>
      </c>
      <c r="X5" s="13" t="n">
        <f aca="false">IF(P5="",0,IF(EXACT($AI5,$AQ5),1,0))</f>
        <v>0</v>
      </c>
      <c r="Y5" s="13" t="str">
        <f aca="false">IF(COUNTA(J5:P5)&lt;7,"",SUM(R5:X5))</f>
        <v/>
      </c>
      <c r="Z5" s="14"/>
      <c r="AA5" s="13" t="str">
        <f aca="false">IF(COUNTA(J5:P5)&lt;7,"",IF(Z5="",Y5,Z5))</f>
        <v/>
      </c>
      <c r="AC5" s="0" t="str">
        <f aca="false">IF(IFERROR(SEARCH("bovine",LOWER(B5&amp;"")),0)&gt;0,"bovine",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B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",""),"k1=",""),"k2=",""),"k3=",""),"ka=",""),"kd=",""),"k=",""),"°c",""),"degc",""),"m-1",""),"micromolar",""),"um",""),"(",""),")","")),"cardiac",""),"heart",""),"muscle",""))</f>
        <v>bovine</v>
      </c>
      <c r="AD5" s="0" t="str">
        <f aca="false">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C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",""),"k1=",""),"k2=",""),"k3=",""),"ka=",""),"kd=",""),"k=",""),"°c",""),"degc",""),"m-1",""),"micromolar",""),"um",""),"(",""),")","")),"c","")</f>
        <v>4</v>
      </c>
      <c r="AE5" s="0" t="str">
        <f aca="false">IF(AND(IFERROR(SEARCH("tnc",LOWER(D5&amp;"")),0)&gt;0,IFERROR(SEARCH("tni",LOWER(D5&amp;"")),0)&gt;0),"tnitnc",IF(IFERROR(SEARCH("tnc",LOWER(D5&amp;"")),0)&gt;0,"tnc",IF(IFERROR(SEARCH("tn",LOWER(D5&amp;"")),0)&gt;0,"tn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D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",""),"k1=",""),"k2=",""),"k3=",""),"ka=",""),"kd=",""),"k=",""),"°c",""),"degc",""),"m-1",""),"micromolar",""),"um",""),"(",""),")","")),"-",""),"/",""),"reconstituted",""),"complex",""))))</f>
        <v>tnc</v>
      </c>
      <c r="AF5" s="0" t="str">
        <f aca="false">IF(OR(IFERROR(SEARCH("scintillation",LOWER(E5&amp;"")),0)&gt;0,IFERROR(SEARCH("equilibrium dialysis",LOWER(E5&amp;"")),0)&gt;0),"sc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E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",""),"k1=",""),"k2=",""),"k3=",""),"ka=",""),"kd=",""),"k=",""),"°c",""),"degc",""),"m-1",""),"micromolar",""),"um",""),"(",""),")","")))</f>
        <v>sc</v>
      </c>
      <c r="AG5" s="0" t="str">
        <f aca="false">IF(OR(IFERROR(SEARCH("no added",LOWER(F5&amp;"")),0)&gt;0,IFERROR(SEARCH("not added",LOWER(F5&amp;"")),0)&gt;0,IFERROR(SEARCH("absence",LOWER(F5&amp;"")),0)&gt;0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0.001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-3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-6m"),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",""),"k1=",""),"k2=",""),"k3=",""),"ka=",""),"kd=",""),"k=",""),"°c",""),"degc",""),"m-1",""),"micromolar",""),"um",""),"(",""),")","")),"mgcl2",""),"mg2+",""),"magnesium",""),"mm",""))</f>
        <v>4</v>
      </c>
      <c r="AH5" s="0" t="str">
        <f aca="false">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G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",""),"k1=",""),"k2=",""),"k3=",""),"ka=",""),"kd=",""),"k=",""),"°c",""),"degc",""),"m-1",""),"micromolar",""),"um",""),"(",""),")","")),"e","x10"),"+","")</f>
        <v>2.5x105</v>
      </c>
      <c r="AI5" s="0" t="str">
        <f aca="false">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H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</f>
        <v>4</v>
      </c>
      <c r="AK5" s="0" t="str">
        <f aca="false">IF(IFERROR(SEARCH("bovine",LOWER(J5&amp;"")),0)&gt;0,"bovine",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J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",""),"k1=",""),"k2=",""),"k3=",""),"ka=",""),"kd=",""),"k=",""),"°c",""),"degc",""),"m-1",""),"micromolar",""),"um",""),"(",""),")","")),"cardiac",""),"heart",""),"muscle",""))</f>
        <v/>
      </c>
      <c r="AL5" s="0" t="str">
        <f aca="false">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K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",""),"k1=",""),"k2=",""),"k3=",""),"ka=",""),"kd=",""),"k=",""),"°c",""),"degc",""),"m-1",""),"micromolar",""),"um",""),"(",""),")","")),"c","")</f>
        <v/>
      </c>
      <c r="AM5" s="0" t="str">
        <f aca="false">IF(AND(IFERROR(SEARCH("tnc",LOWER(L5&amp;"")),0)&gt;0,IFERROR(SEARCH("tni",LOWER(L5&amp;"")),0)&gt;0),"tnitnc",IF(IFERROR(SEARCH("tnc",LOWER(L5&amp;"")),0)&gt;0,"tnc",IF(IFERROR(SEARCH("tn",LOWER(L5&amp;"")),0)&gt;0,"tn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L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",""),"k1=",""),"k2=",""),"k3=",""),"ka=",""),"kd=",""),"k=",""),"°c",""),"degc",""),"m-1",""),"micromolar",""),"um",""),"(",""),")","")),"-",""),"/",""),"reconstituted",""),"complex",""))))</f>
        <v/>
      </c>
      <c r="AN5" s="0" t="str">
        <f aca="false">IF(OR(IFERROR(SEARCH("scintillation",LOWER(M5&amp;"")),0)&gt;0,IFERROR(SEARCH("equilibrium dialysis",LOWER(M5&amp;"")),0)&gt;0),"sc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M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",""),"k1=",""),"k2=",""),"k3=",""),"ka=",""),"kd=",""),"k=",""),"°c",""),"degc",""),"m-1",""),"micromolar",""),"um",""),"(",""),")","")))</f>
        <v/>
      </c>
      <c r="AO5" s="0" t="str">
        <f aca="false">IF(OR(IFERROR(SEARCH("no added",LOWER(N5&amp;"")),0)&gt;0,IFERROR(SEARCH("not added",LOWER(N5&amp;"")),0)&gt;0,IFERROR(SEARCH("absence",LOWER(N5&amp;"")),0)&gt;0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0.001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-3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-6m"),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",""),"k1=",""),"k2=",""),"k3=",""),"ka=",""),"kd=",""),"k=",""),"°c",""),"degc",""),"m-1",""),"micromolar",""),"um",""),"(",""),")","")),"mgcl2",""),"mg2+",""),"magnesium",""),"mm",""))</f>
        <v/>
      </c>
      <c r="AP5" s="0" t="str">
        <f aca="false">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O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",""),"k1=",""),"k2=",""),"k3=",""),"ka=",""),"kd=",""),"k=",""),"°c",""),"degc",""),"m-1",""),"micromolar",""),"um",""),"(",""),")","")),"e","x10"),"+","")</f>
        <v/>
      </c>
      <c r="AQ5" s="0" t="str">
        <f aca="false">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P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</f>
        <v/>
      </c>
    </row>
    <row r="6" customFormat="false" ht="15" hidden="false" customHeight="false" outlineLevel="0" collapsed="false">
      <c r="A6" s="10" t="n">
        <v>3</v>
      </c>
      <c r="B6" s="11" t="s">
        <v>49</v>
      </c>
      <c r="C6" s="11" t="n">
        <v>4</v>
      </c>
      <c r="D6" s="11" t="s">
        <v>54</v>
      </c>
      <c r="E6" s="11" t="s">
        <v>51</v>
      </c>
      <c r="F6" s="11" t="s">
        <v>52</v>
      </c>
      <c r="G6" s="11" t="s">
        <v>55</v>
      </c>
      <c r="H6" s="11" t="n">
        <v>1</v>
      </c>
      <c r="J6" s="12"/>
      <c r="K6" s="12"/>
      <c r="L6" s="12"/>
      <c r="M6" s="12"/>
      <c r="N6" s="12"/>
      <c r="O6" s="12"/>
      <c r="P6" s="12"/>
      <c r="R6" s="13" t="n">
        <f aca="false">IF(J6="",0,IF(EXACT($AC6,$AK6),1,0))</f>
        <v>0</v>
      </c>
      <c r="S6" s="13" t="n">
        <f aca="false">IF(K6="",0,IF(EXACT($AD6,$AL6),1,0))</f>
        <v>0</v>
      </c>
      <c r="T6" s="13" t="n">
        <f aca="false">IF(L6="",0,IF(EXACT($AE6,$AM6),1,0))</f>
        <v>0</v>
      </c>
      <c r="U6" s="13" t="n">
        <f aca="false">IF(M6="",0,IF(EXACT($AF6,$AN6),1,0))</f>
        <v>0</v>
      </c>
      <c r="V6" s="13" t="n">
        <f aca="false">IF(N6="",0,IF(EXACT($AG6,$AO6),1,0))</f>
        <v>0</v>
      </c>
      <c r="W6" s="13" t="n">
        <f aca="false">IF(O6="",0,IF(EXACT($AH6,$AP6),1,0))</f>
        <v>0</v>
      </c>
      <c r="X6" s="13" t="n">
        <f aca="false">IF(P6="",0,IF(EXACT($AI6,$AQ6),1,0))</f>
        <v>0</v>
      </c>
      <c r="Y6" s="13" t="str">
        <f aca="false">IF(COUNTA(J6:P6)&lt;7,"",SUM(R6:X6))</f>
        <v/>
      </c>
      <c r="Z6" s="14"/>
      <c r="AA6" s="13" t="str">
        <f aca="false">IF(COUNTA(J6:P6)&lt;7,"",IF(Z6="",Y6,Z6))</f>
        <v/>
      </c>
      <c r="AC6" s="0" t="str">
        <f aca="false">IF(IFERROR(SEARCH("bovine",LOWER(B6&amp;"")),0)&gt;0,"bovine",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B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",""),"k1=",""),"k2=",""),"k3=",""),"ka=",""),"kd=",""),"k=",""),"°c",""),"degc",""),"m-1",""),"micromolar",""),"um",""),"(",""),")","")),"cardiac",""),"heart",""),"muscle",""))</f>
        <v>bovine</v>
      </c>
      <c r="AD6" s="0" t="str">
        <f aca="false">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C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",""),"k1=",""),"k2=",""),"k3=",""),"ka=",""),"kd=",""),"k=",""),"°c",""),"degc",""),"m-1",""),"micromolar",""),"um",""),"(",""),")","")),"c","")</f>
        <v>4</v>
      </c>
      <c r="AE6" s="0" t="str">
        <f aca="false">IF(AND(IFERROR(SEARCH("tnc",LOWER(D6&amp;"")),0)&gt;0,IFERROR(SEARCH("tni",LOWER(D6&amp;"")),0)&gt;0),"tnitnc",IF(IFERROR(SEARCH("tnc",LOWER(D6&amp;"")),0)&gt;0,"tnc",IF(IFERROR(SEARCH("tn",LOWER(D6&amp;"")),0)&gt;0,"tn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D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",""),"k1=",""),"k2=",""),"k3=",""),"ka=",""),"kd=",""),"k=",""),"°c",""),"degc",""),"m-1",""),"micromolar",""),"um",""),"(",""),")","")),"-",""),"/",""),"reconstituted",""),"complex",""))))</f>
        <v>tnitnc</v>
      </c>
      <c r="AF6" s="0" t="str">
        <f aca="false">IF(OR(IFERROR(SEARCH("scintillation",LOWER(E6&amp;"")),0)&gt;0,IFERROR(SEARCH("equilibrium dialysis",LOWER(E6&amp;"")),0)&gt;0),"sc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E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",""),"k1=",""),"k2=",""),"k3=",""),"ka=",""),"kd=",""),"k=",""),"°c",""),"degc",""),"m-1",""),"micromolar",""),"um",""),"(",""),")","")))</f>
        <v>sc</v>
      </c>
      <c r="AG6" s="0" t="str">
        <f aca="false">IF(OR(IFERROR(SEARCH("no added",LOWER(F6&amp;"")),0)&gt;0,IFERROR(SEARCH("not added",LOWER(F6&amp;"")),0)&gt;0,IFERROR(SEARCH("absence",LOWER(F6&amp;"")),0)&gt;0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0.001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-3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-6m"),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",""),"k1=",""),"k2=",""),"k3=",""),"ka=",""),"kd=",""),"k=",""),"°c",""),"degc",""),"m-1",""),"micromolar",""),"um",""),"(",""),")","")),"mgcl2",""),"mg2+",""),"magnesium",""),"mm",""))</f>
        <v>none</v>
      </c>
      <c r="AH6" s="0" t="str">
        <f aca="false">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G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",""),"k1=",""),"k2=",""),"k3=",""),"ka=",""),"kd=",""),"k=",""),"°c",""),"degc",""),"m-1",""),"micromolar",""),"um",""),"(",""),")","")),"e","x10"),"+","")</f>
        <v>1x106</v>
      </c>
      <c r="AI6" s="0" t="str">
        <f aca="false">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H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</f>
        <v>1</v>
      </c>
      <c r="AK6" s="0" t="str">
        <f aca="false">IF(IFERROR(SEARCH("bovine",LOWER(J6&amp;"")),0)&gt;0,"bovine",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J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",""),"k1=",""),"k2=",""),"k3=",""),"ka=",""),"kd=",""),"k=",""),"°c",""),"degc",""),"m-1",""),"micromolar",""),"um",""),"(",""),")","")),"cardiac",""),"heart",""),"muscle",""))</f>
        <v/>
      </c>
      <c r="AL6" s="0" t="str">
        <f aca="false">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K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",""),"k1=",""),"k2=",""),"k3=",""),"ka=",""),"kd=",""),"k=",""),"°c",""),"degc",""),"m-1",""),"micromolar",""),"um",""),"(",""),")","")),"c","")</f>
        <v/>
      </c>
      <c r="AM6" s="0" t="str">
        <f aca="false">IF(AND(IFERROR(SEARCH("tnc",LOWER(L6&amp;"")),0)&gt;0,IFERROR(SEARCH("tni",LOWER(L6&amp;"")),0)&gt;0),"tnitnc",IF(IFERROR(SEARCH("tnc",LOWER(L6&amp;"")),0)&gt;0,"tnc",IF(IFERROR(SEARCH("tn",LOWER(L6&amp;"")),0)&gt;0,"tn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L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",""),"k1=",""),"k2=",""),"k3=",""),"ka=",""),"kd=",""),"k=",""),"°c",""),"degc",""),"m-1",""),"micromolar",""),"um",""),"(",""),")","")),"-",""),"/",""),"reconstituted",""),"complex",""))))</f>
        <v/>
      </c>
      <c r="AN6" s="0" t="str">
        <f aca="false">IF(OR(IFERROR(SEARCH("scintillation",LOWER(M6&amp;"")),0)&gt;0,IFERROR(SEARCH("equilibrium dialysis",LOWER(M6&amp;"")),0)&gt;0),"sc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M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",""),"k1=",""),"k2=",""),"k3=",""),"ka=",""),"kd=",""),"k=",""),"°c",""),"degc",""),"m-1",""),"micromolar",""),"um",""),"(",""),")","")))</f>
        <v/>
      </c>
      <c r="AO6" s="0" t="str">
        <f aca="false">IF(OR(IFERROR(SEARCH("no added",LOWER(N6&amp;"")),0)&gt;0,IFERROR(SEARCH("not added",LOWER(N6&amp;"")),0)&gt;0,IFERROR(SEARCH("absence",LOWER(N6&amp;"")),0)&gt;0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0.001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-3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-6m"),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",""),"k1=",""),"k2=",""),"k3=",""),"ka=",""),"kd=",""),"k=",""),"°c",""),"degc",""),"m-1",""),"micromolar",""),"um",""),"(",""),")","")),"mgcl2",""),"mg2+",""),"magnesium",""),"mm",""))</f>
        <v/>
      </c>
      <c r="AP6" s="0" t="str">
        <f aca="false">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O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",""),"k1=",""),"k2=",""),"k3=",""),"ka=",""),"kd=",""),"k=",""),"°c",""),"degc",""),"m-1",""),"micromolar",""),"um",""),"(",""),")","")),"e","x10"),"+","")</f>
        <v/>
      </c>
      <c r="AQ6" s="0" t="str">
        <f aca="false">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P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</f>
        <v/>
      </c>
    </row>
    <row r="7" customFormat="false" ht="15" hidden="false" customHeight="false" outlineLevel="0" collapsed="false">
      <c r="A7" s="10" t="n">
        <v>4</v>
      </c>
      <c r="B7" s="11" t="s">
        <v>49</v>
      </c>
      <c r="C7" s="11" t="n">
        <v>4</v>
      </c>
      <c r="D7" s="11" t="s">
        <v>54</v>
      </c>
      <c r="E7" s="11" t="s">
        <v>51</v>
      </c>
      <c r="F7" s="11" t="n">
        <v>4</v>
      </c>
      <c r="G7" s="11" t="s">
        <v>55</v>
      </c>
      <c r="H7" s="11" t="n">
        <v>1</v>
      </c>
      <c r="J7" s="12"/>
      <c r="K7" s="12"/>
      <c r="L7" s="12"/>
      <c r="M7" s="12"/>
      <c r="N7" s="12"/>
      <c r="O7" s="12"/>
      <c r="P7" s="12"/>
      <c r="R7" s="13" t="n">
        <f aca="false">IF(J7="",0,IF(EXACT($AC7,$AK7),1,0))</f>
        <v>0</v>
      </c>
      <c r="S7" s="13" t="n">
        <f aca="false">IF(K7="",0,IF(EXACT($AD7,$AL7),1,0))</f>
        <v>0</v>
      </c>
      <c r="T7" s="13" t="n">
        <f aca="false">IF(L7="",0,IF(EXACT($AE7,$AM7),1,0))</f>
        <v>0</v>
      </c>
      <c r="U7" s="13" t="n">
        <f aca="false">IF(M7="",0,IF(EXACT($AF7,$AN7),1,0))</f>
        <v>0</v>
      </c>
      <c r="V7" s="13" t="n">
        <f aca="false">IF(N7="",0,IF(EXACT($AG7,$AO7),1,0))</f>
        <v>0</v>
      </c>
      <c r="W7" s="13" t="n">
        <f aca="false">IF(O7="",0,IF(EXACT($AH7,$AP7),1,0))</f>
        <v>0</v>
      </c>
      <c r="X7" s="13" t="n">
        <f aca="false">IF(P7="",0,IF(EXACT($AI7,$AQ7),1,0))</f>
        <v>0</v>
      </c>
      <c r="Y7" s="13" t="str">
        <f aca="false">IF(COUNTA(J7:P7)&lt;7,"",SUM(R7:X7))</f>
        <v/>
      </c>
      <c r="Z7" s="14"/>
      <c r="AA7" s="13" t="str">
        <f aca="false">IF(COUNTA(J7:P7)&lt;7,"",IF(Z7="",Y7,Z7))</f>
        <v/>
      </c>
      <c r="AC7" s="0" t="str">
        <f aca="false">IF(IFERROR(SEARCH("bovine",LOWER(B7&amp;"")),0)&gt;0,"bovine",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B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",""),"k1=",""),"k2=",""),"k3=",""),"ka=",""),"kd=",""),"k=",""),"°c",""),"degc",""),"m-1",""),"micromolar",""),"um",""),"(",""),")","")),"cardiac",""),"heart",""),"muscle",""))</f>
        <v>bovine</v>
      </c>
      <c r="AD7" s="0" t="str">
        <f aca="false">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C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",""),"k1=",""),"k2=",""),"k3=",""),"ka=",""),"kd=",""),"k=",""),"°c",""),"degc",""),"m-1",""),"micromolar",""),"um",""),"(",""),")","")),"c","")</f>
        <v>4</v>
      </c>
      <c r="AE7" s="0" t="str">
        <f aca="false">IF(AND(IFERROR(SEARCH("tnc",LOWER(D7&amp;"")),0)&gt;0,IFERROR(SEARCH("tni",LOWER(D7&amp;"")),0)&gt;0),"tnitnc",IF(IFERROR(SEARCH("tnc",LOWER(D7&amp;"")),0)&gt;0,"tnc",IF(IFERROR(SEARCH("tn",LOWER(D7&amp;"")),0)&gt;0,"tn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D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",""),"k1=",""),"k2=",""),"k3=",""),"ka=",""),"kd=",""),"k=",""),"°c",""),"degc",""),"m-1",""),"micromolar",""),"um",""),"(",""),")","")),"-",""),"/",""),"reconstituted",""),"complex",""))))</f>
        <v>tnitnc</v>
      </c>
      <c r="AF7" s="0" t="str">
        <f aca="false">IF(OR(IFERROR(SEARCH("scintillation",LOWER(E7&amp;"")),0)&gt;0,IFERROR(SEARCH("equilibrium dialysis",LOWER(E7&amp;"")),0)&gt;0),"sc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E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",""),"k1=",""),"k2=",""),"k3=",""),"ka=",""),"kd=",""),"k=",""),"°c",""),"degc",""),"m-1",""),"micromolar",""),"um",""),"(",""),")","")))</f>
        <v>sc</v>
      </c>
      <c r="AG7" s="0" t="str">
        <f aca="false">IF(OR(IFERROR(SEARCH("no added",LOWER(F7&amp;"")),0)&gt;0,IFERROR(SEARCH("not added",LOWER(F7&amp;"")),0)&gt;0,IFERROR(SEARCH("absence",LOWER(F7&amp;"")),0)&gt;0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0.001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-3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-6m"),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",""),"k1=",""),"k2=",""),"k3=",""),"ka=",""),"kd=",""),"k=",""),"°c",""),"degc",""),"m-1",""),"micromolar",""),"um",""),"(",""),")","")),"mgcl2",""),"mg2+",""),"magnesium",""),"mm",""))</f>
        <v>4</v>
      </c>
      <c r="AH7" s="0" t="str">
        <f aca="false">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G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",""),"k1=",""),"k2=",""),"k3=",""),"ka=",""),"kd=",""),"k=",""),"°c",""),"degc",""),"m-1",""),"micromolar",""),"um",""),"(",""),")","")),"e","x10"),"+","")</f>
        <v>1x106</v>
      </c>
      <c r="AI7" s="0" t="str">
        <f aca="false">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H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</f>
        <v>1</v>
      </c>
      <c r="AK7" s="0" t="str">
        <f aca="false">IF(IFERROR(SEARCH("bovine",LOWER(J7&amp;"")),0)&gt;0,"bovine",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J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",""),"k1=",""),"k2=",""),"k3=",""),"ka=",""),"kd=",""),"k=",""),"°c",""),"degc",""),"m-1",""),"micromolar",""),"um",""),"(",""),")","")),"cardiac",""),"heart",""),"muscle",""))</f>
        <v/>
      </c>
      <c r="AL7" s="0" t="str">
        <f aca="false">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K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",""),"k1=",""),"k2=",""),"k3=",""),"ka=",""),"kd=",""),"k=",""),"°c",""),"degc",""),"m-1",""),"micromolar",""),"um",""),"(",""),")","")),"c","")</f>
        <v/>
      </c>
      <c r="AM7" s="0" t="str">
        <f aca="false">IF(AND(IFERROR(SEARCH("tnc",LOWER(L7&amp;"")),0)&gt;0,IFERROR(SEARCH("tni",LOWER(L7&amp;"")),0)&gt;0),"tnitnc",IF(IFERROR(SEARCH("tnc",LOWER(L7&amp;"")),0)&gt;0,"tnc",IF(IFERROR(SEARCH("tn",LOWER(L7&amp;"")),0)&gt;0,"tn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L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",""),"k1=",""),"k2=",""),"k3=",""),"ka=",""),"kd=",""),"k=",""),"°c",""),"degc",""),"m-1",""),"micromolar",""),"um",""),"(",""),")","")),"-",""),"/",""),"reconstituted",""),"complex",""))))</f>
        <v/>
      </c>
      <c r="AN7" s="0" t="str">
        <f aca="false">IF(OR(IFERROR(SEARCH("scintillation",LOWER(M7&amp;"")),0)&gt;0,IFERROR(SEARCH("equilibrium dialysis",LOWER(M7&amp;"")),0)&gt;0),"sc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M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",""),"k1=",""),"k2=",""),"k3=",""),"ka=",""),"kd=",""),"k=",""),"°c",""),"degc",""),"m-1",""),"micromolar",""),"um",""),"(",""),")","")))</f>
        <v/>
      </c>
      <c r="AO7" s="0" t="str">
        <f aca="false">IF(OR(IFERROR(SEARCH("no added",LOWER(N7&amp;"")),0)&gt;0,IFERROR(SEARCH("not added",LOWER(N7&amp;"")),0)&gt;0,IFERROR(SEARCH("absence",LOWER(N7&amp;"")),0)&gt;0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0.001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-3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-6m"),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",""),"k1=",""),"k2=",""),"k3=",""),"ka=",""),"kd=",""),"k=",""),"°c",""),"degc",""),"m-1",""),"micromolar",""),"um",""),"(",""),")","")),"mgcl2",""),"mg2+",""),"magnesium",""),"mm",""))</f>
        <v/>
      </c>
      <c r="AP7" s="0" t="str">
        <f aca="false">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O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",""),"k1=",""),"k2=",""),"k3=",""),"ka=",""),"kd=",""),"k=",""),"°c",""),"degc",""),"m-1",""),"micromolar",""),"um",""),"(",""),")","")),"e","x10"),"+","")</f>
        <v/>
      </c>
      <c r="AQ7" s="0" t="str">
        <f aca="false">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P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</f>
        <v/>
      </c>
    </row>
    <row r="8" customFormat="false" ht="15" hidden="false" customHeight="false" outlineLevel="0" collapsed="false">
      <c r="A8" s="10" t="n">
        <v>5</v>
      </c>
      <c r="B8" s="11" t="s">
        <v>49</v>
      </c>
      <c r="C8" s="11" t="n">
        <v>4</v>
      </c>
      <c r="D8" s="11" t="s">
        <v>56</v>
      </c>
      <c r="E8" s="11" t="s">
        <v>51</v>
      </c>
      <c r="F8" s="11" t="s">
        <v>52</v>
      </c>
      <c r="G8" s="11" t="s">
        <v>57</v>
      </c>
      <c r="H8" s="11" t="n">
        <v>0.4</v>
      </c>
      <c r="J8" s="12"/>
      <c r="K8" s="12"/>
      <c r="L8" s="12"/>
      <c r="M8" s="12"/>
      <c r="N8" s="12"/>
      <c r="O8" s="12"/>
      <c r="P8" s="12"/>
      <c r="R8" s="13" t="n">
        <f aca="false">IF(J8="",0,IF(EXACT($AC8,$AK8),1,0))</f>
        <v>0</v>
      </c>
      <c r="S8" s="13" t="n">
        <f aca="false">IF(K8="",0,IF(EXACT($AD8,$AL8),1,0))</f>
        <v>0</v>
      </c>
      <c r="T8" s="13" t="n">
        <f aca="false">IF(L8="",0,IF(EXACT($AE8,$AM8),1,0))</f>
        <v>0</v>
      </c>
      <c r="U8" s="13" t="n">
        <f aca="false">IF(M8="",0,IF(EXACT($AF8,$AN8),1,0))</f>
        <v>0</v>
      </c>
      <c r="V8" s="13" t="n">
        <f aca="false">IF(N8="",0,IF(EXACT($AG8,$AO8),1,0))</f>
        <v>0</v>
      </c>
      <c r="W8" s="13" t="n">
        <f aca="false">IF(O8="",0,IF(EXACT($AH8,$AP8),1,0))</f>
        <v>0</v>
      </c>
      <c r="X8" s="13" t="n">
        <f aca="false">IF(P8="",0,IF(EXACT($AI8,$AQ8),1,0))</f>
        <v>0</v>
      </c>
      <c r="Y8" s="13" t="str">
        <f aca="false">IF(COUNTA(J8:P8)&lt;7,"",SUM(R8:X8))</f>
        <v/>
      </c>
      <c r="Z8" s="14"/>
      <c r="AA8" s="13" t="str">
        <f aca="false">IF(COUNTA(J8:P8)&lt;7,"",IF(Z8="",Y8,Z8))</f>
        <v/>
      </c>
      <c r="AC8" s="0" t="str">
        <f aca="false">IF(IFERROR(SEARCH("bovine",LOWER(B8&amp;"")),0)&gt;0,"bovine",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B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",""),"k1=",""),"k2=",""),"k3=",""),"ka=",""),"kd=",""),"k=",""),"°c",""),"degc",""),"m-1",""),"micromolar",""),"um",""),"(",""),")","")),"cardiac",""),"heart",""),"muscle",""))</f>
        <v>bovine</v>
      </c>
      <c r="AD8" s="0" t="str">
        <f aca="false">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C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",""),"k1=",""),"k2=",""),"k3=",""),"ka=",""),"kd=",""),"k=",""),"°c",""),"degc",""),"m-1",""),"micromolar",""),"um",""),"(",""),")","")),"c","")</f>
        <v>4</v>
      </c>
      <c r="AE8" s="0" t="str">
        <f aca="false">IF(AND(IFERROR(SEARCH("tnc",LOWER(D8&amp;"")),0)&gt;0,IFERROR(SEARCH("tni",LOWER(D8&amp;"")),0)&gt;0),"tnitnc",IF(IFERROR(SEARCH("tnc",LOWER(D8&amp;"")),0)&gt;0,"tnc",IF(IFERROR(SEARCH("tn",LOWER(D8&amp;"")),0)&gt;0,"tn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D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",""),"k1=",""),"k2=",""),"k3=",""),"ka=",""),"kd=",""),"k=",""),"°c",""),"degc",""),"m-1",""),"micromolar",""),"um",""),"(",""),")","")),"-",""),"/",""),"reconstituted",""),"complex",""))))</f>
        <v>tn</v>
      </c>
      <c r="AF8" s="0" t="str">
        <f aca="false">IF(OR(IFERROR(SEARCH("scintillation",LOWER(E8&amp;"")),0)&gt;0,IFERROR(SEARCH("equilibrium dialysis",LOWER(E8&amp;"")),0)&gt;0),"sc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E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",""),"k1=",""),"k2=",""),"k3=",""),"ka=",""),"kd=",""),"k=",""),"°c",""),"degc",""),"m-1",""),"micromolar",""),"um",""),"(",""),")","")))</f>
        <v>sc</v>
      </c>
      <c r="AG8" s="0" t="str">
        <f aca="false">IF(OR(IFERROR(SEARCH("no added",LOWER(F8&amp;"")),0)&gt;0,IFERROR(SEARCH("not added",LOWER(F8&amp;"")),0)&gt;0,IFERROR(SEARCH("absence",LOWER(F8&amp;"")),0)&gt;0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0.001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-3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-6m"),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",""),"k1=",""),"k2=",""),"k3=",""),"ka=",""),"kd=",""),"k=",""),"°c",""),"degc",""),"m-1",""),"micromolar",""),"um",""),"(",""),")","")),"mgcl2",""),"mg2+",""),"magnesium",""),"mm",""))</f>
        <v>none</v>
      </c>
      <c r="AH8" s="0" t="str">
        <f aca="false">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G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",""),"k1=",""),"k2=",""),"k3=",""),"ka=",""),"kd=",""),"k=",""),"°c",""),"degc",""),"m-1",""),"micromolar",""),"um",""),"(",""),")","")),"e","x10"),"+","")</f>
        <v>2.5x106</v>
      </c>
      <c r="AI8" s="0" t="str">
        <f aca="false">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H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</f>
        <v>0.4</v>
      </c>
      <c r="AK8" s="0" t="str">
        <f aca="false">IF(IFERROR(SEARCH("bovine",LOWER(J8&amp;"")),0)&gt;0,"bovine",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J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",""),"k1=",""),"k2=",""),"k3=",""),"ka=",""),"kd=",""),"k=",""),"°c",""),"degc",""),"m-1",""),"micromolar",""),"um",""),"(",""),")","")),"cardiac",""),"heart",""),"muscle",""))</f>
        <v/>
      </c>
      <c r="AL8" s="0" t="str">
        <f aca="false">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K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",""),"k1=",""),"k2=",""),"k3=",""),"ka=",""),"kd=",""),"k=",""),"°c",""),"degc",""),"m-1",""),"micromolar",""),"um",""),"(",""),")","")),"c","")</f>
        <v/>
      </c>
      <c r="AM8" s="0" t="str">
        <f aca="false">IF(AND(IFERROR(SEARCH("tnc",LOWER(L8&amp;"")),0)&gt;0,IFERROR(SEARCH("tni",LOWER(L8&amp;"")),0)&gt;0),"tnitnc",IF(IFERROR(SEARCH("tnc",LOWER(L8&amp;"")),0)&gt;0,"tnc",IF(IFERROR(SEARCH("tn",LOWER(L8&amp;"")),0)&gt;0,"tn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L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",""),"k1=",""),"k2=",""),"k3=",""),"ka=",""),"kd=",""),"k=",""),"°c",""),"degc",""),"m-1",""),"micromolar",""),"um",""),"(",""),")","")),"-",""),"/",""),"reconstituted",""),"complex",""))))</f>
        <v/>
      </c>
      <c r="AN8" s="0" t="str">
        <f aca="false">IF(OR(IFERROR(SEARCH("scintillation",LOWER(M8&amp;"")),0)&gt;0,IFERROR(SEARCH("equilibrium dialysis",LOWER(M8&amp;"")),0)&gt;0),"sc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M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",""),"k1=",""),"k2=",""),"k3=",""),"ka=",""),"kd=",""),"k=",""),"°c",""),"degc",""),"m-1",""),"micromolar",""),"um",""),"(",""),")","")))</f>
        <v/>
      </c>
      <c r="AO8" s="0" t="str">
        <f aca="false">IF(OR(IFERROR(SEARCH("no added",LOWER(N8&amp;"")),0)&gt;0,IFERROR(SEARCH("not added",LOWER(N8&amp;"")),0)&gt;0,IFERROR(SEARCH("absence",LOWER(N8&amp;"")),0)&gt;0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0.001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-3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-6m"),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",""),"k1=",""),"k2=",""),"k3=",""),"ka=",""),"kd=",""),"k=",""),"°c",""),"degc",""),"m-1",""),"micromolar",""),"um",""),"(",""),")","")),"mgcl2",""),"mg2+",""),"magnesium",""),"mm",""))</f>
        <v/>
      </c>
      <c r="AP8" s="0" t="str">
        <f aca="false">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O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",""),"k1=",""),"k2=",""),"k3=",""),"ka=",""),"kd=",""),"k=",""),"°c",""),"degc",""),"m-1",""),"micromolar",""),"um",""),"(",""),")","")),"e","x10"),"+","")</f>
        <v/>
      </c>
      <c r="AQ8" s="0" t="str">
        <f aca="false">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P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</f>
        <v/>
      </c>
    </row>
    <row r="9" customFormat="false" ht="15" hidden="false" customHeight="false" outlineLevel="0" collapsed="false">
      <c r="A9" s="10" t="n">
        <v>6</v>
      </c>
      <c r="B9" s="11" t="s">
        <v>49</v>
      </c>
      <c r="C9" s="11" t="n">
        <v>4</v>
      </c>
      <c r="D9" s="11" t="s">
        <v>56</v>
      </c>
      <c r="E9" s="11" t="s">
        <v>51</v>
      </c>
      <c r="F9" s="11" t="n">
        <v>4</v>
      </c>
      <c r="G9" s="11" t="s">
        <v>57</v>
      </c>
      <c r="H9" s="11" t="n">
        <v>0.4</v>
      </c>
      <c r="J9" s="12"/>
      <c r="K9" s="12"/>
      <c r="L9" s="12"/>
      <c r="M9" s="12"/>
      <c r="N9" s="12"/>
      <c r="O9" s="12"/>
      <c r="P9" s="12"/>
      <c r="R9" s="13" t="n">
        <f aca="false">IF(J9="",0,IF(EXACT($AC9,$AK9),1,0))</f>
        <v>0</v>
      </c>
      <c r="S9" s="13" t="n">
        <f aca="false">IF(K9="",0,IF(EXACT($AD9,$AL9),1,0))</f>
        <v>0</v>
      </c>
      <c r="T9" s="13" t="n">
        <f aca="false">IF(L9="",0,IF(EXACT($AE9,$AM9),1,0))</f>
        <v>0</v>
      </c>
      <c r="U9" s="13" t="n">
        <f aca="false">IF(M9="",0,IF(EXACT($AF9,$AN9),1,0))</f>
        <v>0</v>
      </c>
      <c r="V9" s="13" t="n">
        <f aca="false">IF(N9="",0,IF(EXACT($AG9,$AO9),1,0))</f>
        <v>0</v>
      </c>
      <c r="W9" s="13" t="n">
        <f aca="false">IF(O9="",0,IF(EXACT($AH9,$AP9),1,0))</f>
        <v>0</v>
      </c>
      <c r="X9" s="13" t="n">
        <f aca="false">IF(P9="",0,IF(EXACT($AI9,$AQ9),1,0))</f>
        <v>0</v>
      </c>
      <c r="Y9" s="13" t="str">
        <f aca="false">IF(COUNTA(J9:P9)&lt;7,"",SUM(R9:X9))</f>
        <v/>
      </c>
      <c r="Z9" s="14"/>
      <c r="AA9" s="13" t="str">
        <f aca="false">IF(COUNTA(J9:P9)&lt;7,"",IF(Z9="",Y9,Z9))</f>
        <v/>
      </c>
      <c r="AC9" s="0" t="str">
        <f aca="false">IF(IFERROR(SEARCH("bovine",LOWER(B9&amp;"")),0)&gt;0,"bovine",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B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",""),"k1=",""),"k2=",""),"k3=",""),"ka=",""),"kd=",""),"k=",""),"°c",""),"degc",""),"m-1",""),"micromolar",""),"um",""),"(",""),")","")),"cardiac",""),"heart",""),"muscle",""))</f>
        <v>bovine</v>
      </c>
      <c r="AD9" s="0" t="str">
        <f aca="false">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C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",""),"k1=",""),"k2=",""),"k3=",""),"ka=",""),"kd=",""),"k=",""),"°c",""),"degc",""),"m-1",""),"micromolar",""),"um",""),"(",""),")","")),"c","")</f>
        <v>4</v>
      </c>
      <c r="AE9" s="0" t="str">
        <f aca="false">IF(AND(IFERROR(SEARCH("tnc",LOWER(D9&amp;"")),0)&gt;0,IFERROR(SEARCH("tni",LOWER(D9&amp;"")),0)&gt;0),"tnitnc",IF(IFERROR(SEARCH("tnc",LOWER(D9&amp;"")),0)&gt;0,"tnc",IF(IFERROR(SEARCH("tn",LOWER(D9&amp;"")),0)&gt;0,"tn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D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",""),"k1=",""),"k2=",""),"k3=",""),"ka=",""),"kd=",""),"k=",""),"°c",""),"degc",""),"m-1",""),"micromolar",""),"um",""),"(",""),")","")),"-",""),"/",""),"reconstituted",""),"complex",""))))</f>
        <v>tn</v>
      </c>
      <c r="AF9" s="0" t="str">
        <f aca="false">IF(OR(IFERROR(SEARCH("scintillation",LOWER(E9&amp;"")),0)&gt;0,IFERROR(SEARCH("equilibrium dialysis",LOWER(E9&amp;"")),0)&gt;0),"sc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E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",""),"k1=",""),"k2=",""),"k3=",""),"ka=",""),"kd=",""),"k=",""),"°c",""),"degc",""),"m-1",""),"micromolar",""),"um",""),"(",""),")","")))</f>
        <v>sc</v>
      </c>
      <c r="AG9" s="0" t="str">
        <f aca="false">IF(OR(IFERROR(SEARCH("no added",LOWER(F9&amp;"")),0)&gt;0,IFERROR(SEARCH("not added",LOWER(F9&amp;"")),0)&gt;0,IFERROR(SEARCH("absence",LOWER(F9&amp;"")),0)&gt;0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0.001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-3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-6m"),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",""),"k1=",""),"k2=",""),"k3=",""),"ka=",""),"kd=",""),"k=",""),"°c",""),"degc",""),"m-1",""),"micromolar",""),"um",""),"(",""),")","")),"mgcl2",""),"mg2+",""),"magnesium",""),"mm",""))</f>
        <v>4</v>
      </c>
      <c r="AH9" s="0" t="str">
        <f aca="false">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G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",""),"k1=",""),"k2=",""),"k3=",""),"ka=",""),"kd=",""),"k=",""),"°c",""),"degc",""),"m-1",""),"micromolar",""),"um",""),"(",""),")","")),"e","x10"),"+","")</f>
        <v>2.5x106</v>
      </c>
      <c r="AI9" s="0" t="str">
        <f aca="false">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H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</f>
        <v>0.4</v>
      </c>
      <c r="AK9" s="0" t="str">
        <f aca="false">IF(IFERROR(SEARCH("bovine",LOWER(J9&amp;"")),0)&gt;0,"bovine",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J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",""),"k1=",""),"k2=",""),"k3=",""),"ka=",""),"kd=",""),"k=",""),"°c",""),"degc",""),"m-1",""),"micromolar",""),"um",""),"(",""),")","")),"cardiac",""),"heart",""),"muscle",""))</f>
        <v/>
      </c>
      <c r="AL9" s="0" t="str">
        <f aca="false">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K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",""),"k1=",""),"k2=",""),"k3=",""),"ka=",""),"kd=",""),"k=",""),"°c",""),"degc",""),"m-1",""),"micromolar",""),"um",""),"(",""),")","")),"c","")</f>
        <v/>
      </c>
      <c r="AM9" s="0" t="str">
        <f aca="false">IF(AND(IFERROR(SEARCH("tnc",LOWER(L9&amp;"")),0)&gt;0,IFERROR(SEARCH("tni",LOWER(L9&amp;"")),0)&gt;0),"tnitnc",IF(IFERROR(SEARCH("tnc",LOWER(L9&amp;"")),0)&gt;0,"tnc",IF(IFERROR(SEARCH("tn",LOWER(L9&amp;"")),0)&gt;0,"tn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L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",""),"k1=",""),"k2=",""),"k3=",""),"ka=",""),"kd=",""),"k=",""),"°c",""),"degc",""),"m-1",""),"micromolar",""),"um",""),"(",""),")","")),"-",""),"/",""),"reconstituted",""),"complex",""))))</f>
        <v/>
      </c>
      <c r="AN9" s="0" t="str">
        <f aca="false">IF(OR(IFERROR(SEARCH("scintillation",LOWER(M9&amp;"")),0)&gt;0,IFERROR(SEARCH("equilibrium dialysis",LOWER(M9&amp;"")),0)&gt;0),"sc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M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",""),"k1=",""),"k2=",""),"k3=",""),"ka=",""),"kd=",""),"k=",""),"°c",""),"degc",""),"m-1",""),"micromolar",""),"um",""),"(",""),")","")))</f>
        <v/>
      </c>
      <c r="AO9" s="0" t="str">
        <f aca="false">IF(OR(IFERROR(SEARCH("no added",LOWER(N9&amp;"")),0)&gt;0,IFERROR(SEARCH("not added",LOWER(N9&amp;"")),0)&gt;0,IFERROR(SEARCH("absence",LOWER(N9&amp;"")),0)&gt;0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0.001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-3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-6m"),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",""),"k1=",""),"k2=",""),"k3=",""),"ka=",""),"kd=",""),"k=",""),"°c",""),"degc",""),"m-1",""),"micromolar",""),"um",""),"(",""),")","")),"mgcl2",""),"mg2+",""),"magnesium",""),"mm",""))</f>
        <v/>
      </c>
      <c r="AP9" s="0" t="str">
        <f aca="false">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O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",""),"k1=",""),"k2=",""),"k3=",""),"ka=",""),"kd=",""),"k=",""),"°c",""),"degc",""),"m-1",""),"micromolar",""),"um",""),"(",""),")","")),"e","x10"),"+","")</f>
        <v/>
      </c>
      <c r="AQ9" s="0" t="str">
        <f aca="false">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P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</f>
        <v/>
      </c>
    </row>
    <row r="11" customFormat="false" ht="15" hidden="false" customHeight="false" outlineLevel="0" collapsed="false">
      <c r="W11" s="2" t="s">
        <v>58</v>
      </c>
      <c r="Y11" s="15" t="str">
        <f aca="false">IF(COUNTBLANK(J4:P9)&gt;0,"",SUM(AA4:AA9))</f>
        <v/>
      </c>
      <c r="Z11" s="3" t="s">
        <v>59</v>
      </c>
      <c r="AA11" s="16" t="str">
        <f aca="false">IF(Y11="","",Y11/42)</f>
        <v/>
      </c>
    </row>
    <row r="12" customFormat="false" ht="15" hidden="false" customHeight="false" outlineLevel="0" collapsed="false">
      <c r="W12" s="3" t="s">
        <v>60</v>
      </c>
    </row>
    <row r="14" customFormat="false" ht="15" hidden="false" customHeight="false" outlineLevel="0" collapsed="false">
      <c r="B14" s="3" t="s">
        <v>61</v>
      </c>
      <c r="J14" s="14"/>
    </row>
  </sheetData>
  <mergeCells count="3">
    <mergeCell ref="B2:H2"/>
    <mergeCell ref="J2:P2"/>
    <mergeCell ref="R2:X2"/>
  </mergeCells>
  <dataValidations count="1">
    <dataValidation allowBlank="false" error="Your /7 must be a whole number between 0 and 7." errorStyle="stop" errorTitle="Enter a score from 0 to 7" operator="between" showDropDown="false" showErrorMessage="true" showInputMessage="false" sqref="Z4:Z9" type="whole">
      <formula1>0</formula1>
      <formula2>7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Q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"/>
    <col collapsed="false" customWidth="true" hidden="false" outlineLevel="0" max="8" min="2" style="0" width="13"/>
    <col collapsed="false" customWidth="true" hidden="false" outlineLevel="0" max="9" min="9" style="0" width="2"/>
    <col collapsed="false" customWidth="true" hidden="false" outlineLevel="0" max="16" min="10" style="0" width="15"/>
    <col collapsed="false" customWidth="true" hidden="false" outlineLevel="0" max="17" min="17" style="0" width="2"/>
    <col collapsed="false" customWidth="true" hidden="false" outlineLevel="0" max="24" min="18" style="0" width="6"/>
    <col collapsed="false" customWidth="true" hidden="false" outlineLevel="0" max="25" min="25" style="0" width="8"/>
    <col collapsed="false" customWidth="true" hidden="false" outlineLevel="0" max="26" min="26" style="0" width="14"/>
    <col collapsed="false" customWidth="true" hidden="false" outlineLevel="0" max="27" min="27" style="0" width="9"/>
    <col collapsed="false" customWidth="true" hidden="true" outlineLevel="0" max="35" min="29" style="0" width="13"/>
    <col collapsed="false" customWidth="true" hidden="true" outlineLevel="0" max="43" min="37" style="0" width="13"/>
  </cols>
  <sheetData>
    <row r="1" customFormat="false" ht="17.35" hidden="false" customHeight="false" outlineLevel="0" collapsed="false">
      <c r="A1" s="1" t="s">
        <v>62</v>
      </c>
      <c r="C1" s="3" t="s">
        <v>19</v>
      </c>
    </row>
    <row r="2" customFormat="false" ht="15" hidden="false" customHeight="false" outlineLevel="0" collapsed="false">
      <c r="B2" s="4" t="s">
        <v>20</v>
      </c>
      <c r="C2" s="4"/>
      <c r="D2" s="4"/>
      <c r="E2" s="4"/>
      <c r="F2" s="4"/>
      <c r="G2" s="4"/>
      <c r="H2" s="4"/>
      <c r="J2" s="5" t="s">
        <v>21</v>
      </c>
      <c r="K2" s="5"/>
      <c r="L2" s="5"/>
      <c r="M2" s="5"/>
      <c r="N2" s="5"/>
      <c r="O2" s="5"/>
      <c r="P2" s="5"/>
      <c r="R2" s="6" t="s">
        <v>22</v>
      </c>
      <c r="S2" s="6"/>
      <c r="T2" s="6"/>
      <c r="U2" s="6"/>
      <c r="V2" s="6"/>
      <c r="W2" s="6"/>
      <c r="X2" s="6"/>
      <c r="Y2" s="7" t="s">
        <v>23</v>
      </c>
    </row>
    <row r="3" customFormat="false" ht="30" hidden="false" customHeight="true" outlineLevel="0" collapsed="false">
      <c r="A3" s="8" t="s">
        <v>24</v>
      </c>
      <c r="B3" s="9" t="s">
        <v>25</v>
      </c>
      <c r="C3" s="9" t="s">
        <v>26</v>
      </c>
      <c r="D3" s="9" t="s">
        <v>27</v>
      </c>
      <c r="E3" s="9" t="s">
        <v>28</v>
      </c>
      <c r="F3" s="9" t="s">
        <v>29</v>
      </c>
      <c r="G3" s="9" t="s">
        <v>30</v>
      </c>
      <c r="H3" s="9" t="s">
        <v>31</v>
      </c>
      <c r="J3" s="9" t="s">
        <v>25</v>
      </c>
      <c r="K3" s="9" t="s">
        <v>26</v>
      </c>
      <c r="L3" s="9" t="s">
        <v>27</v>
      </c>
      <c r="M3" s="9" t="s">
        <v>28</v>
      </c>
      <c r="N3" s="9" t="s">
        <v>29</v>
      </c>
      <c r="O3" s="9" t="s">
        <v>30</v>
      </c>
      <c r="P3" s="9" t="s">
        <v>31</v>
      </c>
      <c r="R3" s="9" t="s">
        <v>25</v>
      </c>
      <c r="S3" s="9" t="s">
        <v>26</v>
      </c>
      <c r="T3" s="9" t="s">
        <v>27</v>
      </c>
      <c r="U3" s="9" t="s">
        <v>28</v>
      </c>
      <c r="V3" s="9" t="s">
        <v>29</v>
      </c>
      <c r="W3" s="9" t="s">
        <v>30</v>
      </c>
      <c r="X3" s="9" t="s">
        <v>31</v>
      </c>
      <c r="Y3" s="8" t="s">
        <v>32</v>
      </c>
      <c r="Z3" s="8" t="s">
        <v>33</v>
      </c>
      <c r="AA3" s="8" t="s">
        <v>34</v>
      </c>
      <c r="AC3" s="0" t="s">
        <v>35</v>
      </c>
      <c r="AD3" s="0" t="s">
        <v>36</v>
      </c>
      <c r="AE3" s="0" t="s">
        <v>37</v>
      </c>
      <c r="AF3" s="0" t="s">
        <v>38</v>
      </c>
      <c r="AG3" s="0" t="s">
        <v>39</v>
      </c>
      <c r="AH3" s="0" t="s">
        <v>40</v>
      </c>
      <c r="AI3" s="0" t="s">
        <v>41</v>
      </c>
      <c r="AK3" s="0" t="s">
        <v>42</v>
      </c>
      <c r="AL3" s="0" t="s">
        <v>43</v>
      </c>
      <c r="AM3" s="0" t="s">
        <v>44</v>
      </c>
      <c r="AN3" s="0" t="s">
        <v>45</v>
      </c>
      <c r="AO3" s="0" t="s">
        <v>46</v>
      </c>
      <c r="AP3" s="0" t="s">
        <v>47</v>
      </c>
      <c r="AQ3" s="0" t="s">
        <v>48</v>
      </c>
    </row>
    <row r="4" customFormat="false" ht="15" hidden="false" customHeight="false" outlineLevel="0" collapsed="false">
      <c r="A4" s="10" t="n">
        <v>1</v>
      </c>
      <c r="B4" s="11" t="s">
        <v>49</v>
      </c>
      <c r="C4" s="11" t="n">
        <v>4</v>
      </c>
      <c r="D4" s="11" t="s">
        <v>50</v>
      </c>
      <c r="E4" s="11" t="s">
        <v>51</v>
      </c>
      <c r="F4" s="11" t="s">
        <v>52</v>
      </c>
      <c r="G4" s="11" t="s">
        <v>53</v>
      </c>
      <c r="H4" s="11" t="n">
        <v>4</v>
      </c>
      <c r="J4" s="12"/>
      <c r="K4" s="12"/>
      <c r="L4" s="12"/>
      <c r="M4" s="12"/>
      <c r="N4" s="12"/>
      <c r="O4" s="12"/>
      <c r="P4" s="12"/>
      <c r="R4" s="13" t="n">
        <f aca="false">IF(J4="",0,IF(EXACT($AC4,$AK4),1,0))</f>
        <v>0</v>
      </c>
      <c r="S4" s="13" t="n">
        <f aca="false">IF(K4="",0,IF(EXACT($AD4,$AL4),1,0))</f>
        <v>0</v>
      </c>
      <c r="T4" s="13" t="n">
        <f aca="false">IF(L4="",0,IF(EXACT($AE4,$AM4),1,0))</f>
        <v>0</v>
      </c>
      <c r="U4" s="13" t="n">
        <f aca="false">IF(M4="",0,IF(EXACT($AF4,$AN4),1,0))</f>
        <v>0</v>
      </c>
      <c r="V4" s="13" t="n">
        <f aca="false">IF(N4="",0,IF(EXACT($AG4,$AO4),1,0))</f>
        <v>0</v>
      </c>
      <c r="W4" s="13" t="n">
        <f aca="false">IF(O4="",0,IF(EXACT($AH4,$AP4),1,0))</f>
        <v>0</v>
      </c>
      <c r="X4" s="13" t="n">
        <f aca="false">IF(P4="",0,IF(EXACT($AI4,$AQ4),1,0))</f>
        <v>0</v>
      </c>
      <c r="Y4" s="13" t="str">
        <f aca="false">IF(COUNTA(J4:P4)&lt;7,"",SUM(R4:X4))</f>
        <v/>
      </c>
      <c r="Z4" s="14"/>
      <c r="AA4" s="13" t="str">
        <f aca="false">IF(COUNTA(J4:P4)&lt;7,"",IF(Z4="",Y4,Z4))</f>
        <v/>
      </c>
      <c r="AC4" s="0" t="str">
        <f aca="false">IF(IFERROR(SEARCH("bovine",LOWER(B4&amp;"")),0)&gt;0,"bovine",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B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",""),"k1=",""),"k2=",""),"k3=",""),"ka=",""),"kd=",""),"k=",""),"°c",""),"degc",""),"m-1",""),"micromolar",""),"um",""),"(",""),")","")),"cardiac",""),"heart",""),"muscle",""))</f>
        <v>bovine</v>
      </c>
      <c r="AD4" s="0" t="str">
        <f aca="false">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C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",""),"k1=",""),"k2=",""),"k3=",""),"ka=",""),"kd=",""),"k=",""),"°c",""),"degc",""),"m-1",""),"micromolar",""),"um",""),"(",""),")","")),"c","")</f>
        <v>4</v>
      </c>
      <c r="AE4" s="0" t="str">
        <f aca="false">IF(AND(IFERROR(SEARCH("tnc",LOWER(D4&amp;"")),0)&gt;0,IFERROR(SEARCH("tni",LOWER(D4&amp;"")),0)&gt;0),"tnitnc",IF(IFERROR(SEARCH("tnc",LOWER(D4&amp;"")),0)&gt;0,"tnc",IF(IFERROR(SEARCH("tn",LOWER(D4&amp;"")),0)&gt;0,"tn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D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",""),"k1=",""),"k2=",""),"k3=",""),"ka=",""),"kd=",""),"k=",""),"°c",""),"degc",""),"m-1",""),"micromolar",""),"um",""),"(",""),")","")),"-",""),"/",""),"reconstituted",""),"complex",""))))</f>
        <v>tnc</v>
      </c>
      <c r="AF4" s="0" t="str">
        <f aca="false">IF(OR(IFERROR(SEARCH("scintillation",LOWER(E4&amp;"")),0)&gt;0,IFERROR(SEARCH("equilibrium dialysis",LOWER(E4&amp;"")),0)&gt;0),"sc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E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",""),"k1=",""),"k2=",""),"k3=",""),"ka=",""),"kd=",""),"k=",""),"°c",""),"degc",""),"m-1",""),"micromolar",""),"um",""),"(",""),")","")))</f>
        <v>sc</v>
      </c>
      <c r="AG4" s="0" t="str">
        <f aca="false">IF(OR(IFERROR(SEARCH("no added",LOWER(F4&amp;"")),0)&gt;0,IFERROR(SEARCH("not added",LOWER(F4&amp;"")),0)&gt;0,IFERROR(SEARCH("absence",LOWER(F4&amp;"")),0)&gt;0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0.001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-3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-6m"),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",""),"k1=",""),"k2=",""),"k3=",""),"ka=",""),"kd=",""),"k=",""),"°c",""),"degc",""),"m-1",""),"micromolar",""),"um",""),"(",""),")","")),"mgcl2",""),"mg2+",""),"magnesium",""),"mm",""))</f>
        <v>none</v>
      </c>
      <c r="AH4" s="0" t="str">
        <f aca="false">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G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",""),"k1=",""),"k2=",""),"k3=",""),"ka=",""),"kd=",""),"k=",""),"°c",""),"degc",""),"m-1",""),"micromolar",""),"um",""),"(",""),")","")),"e","x10"),"+","")</f>
        <v>2.5x105</v>
      </c>
      <c r="AI4" s="0" t="str">
        <f aca="false">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H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</f>
        <v>4</v>
      </c>
      <c r="AK4" s="0" t="str">
        <f aca="false">IF(IFERROR(SEARCH("bovine",LOWER(J4&amp;"")),0)&gt;0,"bovine",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J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",""),"k1=",""),"k2=",""),"k3=",""),"ka=",""),"kd=",""),"k=",""),"°c",""),"degc",""),"m-1",""),"micromolar",""),"um",""),"(",""),")","")),"cardiac",""),"heart",""),"muscle",""))</f>
        <v/>
      </c>
      <c r="AL4" s="0" t="str">
        <f aca="false">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K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",""),"k1=",""),"k2=",""),"k3=",""),"ka=",""),"kd=",""),"k=",""),"°c",""),"degc",""),"m-1",""),"micromolar",""),"um",""),"(",""),")","")),"c","")</f>
        <v/>
      </c>
      <c r="AM4" s="0" t="str">
        <f aca="false">IF(AND(IFERROR(SEARCH("tnc",LOWER(L4&amp;"")),0)&gt;0,IFERROR(SEARCH("tni",LOWER(L4&amp;"")),0)&gt;0),"tnitnc",IF(IFERROR(SEARCH("tnc",LOWER(L4&amp;"")),0)&gt;0,"tnc",IF(IFERROR(SEARCH("tn",LOWER(L4&amp;"")),0)&gt;0,"tn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L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",""),"k1=",""),"k2=",""),"k3=",""),"ka=",""),"kd=",""),"k=",""),"°c",""),"degc",""),"m-1",""),"micromolar",""),"um",""),"(",""),")","")),"-",""),"/",""),"reconstituted",""),"complex",""))))</f>
        <v/>
      </c>
      <c r="AN4" s="0" t="str">
        <f aca="false">IF(OR(IFERROR(SEARCH("scintillation",LOWER(M4&amp;"")),0)&gt;0,IFERROR(SEARCH("equilibrium dialysis",LOWER(M4&amp;"")),0)&gt;0),"sc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M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",""),"k1=",""),"k2=",""),"k3=",""),"ka=",""),"kd=",""),"k=",""),"°c",""),"degc",""),"m-1",""),"micromolar",""),"um",""),"(",""),")","")))</f>
        <v/>
      </c>
      <c r="AO4" s="0" t="str">
        <f aca="false">IF(OR(IFERROR(SEARCH("no added",LOWER(N4&amp;"")),0)&gt;0,IFERROR(SEARCH("not added",LOWER(N4&amp;"")),0)&gt;0,IFERROR(SEARCH("absence",LOWER(N4&amp;"")),0)&gt;0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0.001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-3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-6m"),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",""),"k1=",""),"k2=",""),"k3=",""),"ka=",""),"kd=",""),"k=",""),"°c",""),"degc",""),"m-1",""),"micromolar",""),"um",""),"(",""),")","")),"mgcl2",""),"mg2+",""),"magnesium",""),"mm",""))</f>
        <v/>
      </c>
      <c r="AP4" s="0" t="str">
        <f aca="false">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O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",""),"k1=",""),"k2=",""),"k3=",""),"ka=",""),"kd=",""),"k=",""),"°c",""),"degc",""),"m-1",""),"micromolar",""),"um",""),"(",""),")","")),"e","x10"),"+","")</f>
        <v/>
      </c>
      <c r="AQ4" s="0" t="str">
        <f aca="false">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P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</f>
        <v/>
      </c>
    </row>
    <row r="5" customFormat="false" ht="15" hidden="false" customHeight="false" outlineLevel="0" collapsed="false">
      <c r="A5" s="10" t="n">
        <v>2</v>
      </c>
      <c r="B5" s="11" t="s">
        <v>49</v>
      </c>
      <c r="C5" s="11" t="n">
        <v>4</v>
      </c>
      <c r="D5" s="11" t="s">
        <v>50</v>
      </c>
      <c r="E5" s="11" t="s">
        <v>51</v>
      </c>
      <c r="F5" s="11" t="n">
        <v>4</v>
      </c>
      <c r="G5" s="11" t="s">
        <v>53</v>
      </c>
      <c r="H5" s="11" t="n">
        <v>4</v>
      </c>
      <c r="J5" s="12"/>
      <c r="K5" s="12"/>
      <c r="L5" s="12"/>
      <c r="M5" s="12"/>
      <c r="N5" s="12"/>
      <c r="O5" s="12"/>
      <c r="P5" s="12"/>
      <c r="R5" s="13" t="n">
        <f aca="false">IF(J5="",0,IF(EXACT($AC5,$AK5),1,0))</f>
        <v>0</v>
      </c>
      <c r="S5" s="13" t="n">
        <f aca="false">IF(K5="",0,IF(EXACT($AD5,$AL5),1,0))</f>
        <v>0</v>
      </c>
      <c r="T5" s="13" t="n">
        <f aca="false">IF(L5="",0,IF(EXACT($AE5,$AM5),1,0))</f>
        <v>0</v>
      </c>
      <c r="U5" s="13" t="n">
        <f aca="false">IF(M5="",0,IF(EXACT($AF5,$AN5),1,0))</f>
        <v>0</v>
      </c>
      <c r="V5" s="13" t="n">
        <f aca="false">IF(N5="",0,IF(EXACT($AG5,$AO5),1,0))</f>
        <v>0</v>
      </c>
      <c r="W5" s="13" t="n">
        <f aca="false">IF(O5="",0,IF(EXACT($AH5,$AP5),1,0))</f>
        <v>0</v>
      </c>
      <c r="X5" s="13" t="n">
        <f aca="false">IF(P5="",0,IF(EXACT($AI5,$AQ5),1,0))</f>
        <v>0</v>
      </c>
      <c r="Y5" s="13" t="str">
        <f aca="false">IF(COUNTA(J5:P5)&lt;7,"",SUM(R5:X5))</f>
        <v/>
      </c>
      <c r="Z5" s="14"/>
      <c r="AA5" s="13" t="str">
        <f aca="false">IF(COUNTA(J5:P5)&lt;7,"",IF(Z5="",Y5,Z5))</f>
        <v/>
      </c>
      <c r="AC5" s="0" t="str">
        <f aca="false">IF(IFERROR(SEARCH("bovine",LOWER(B5&amp;"")),0)&gt;0,"bovine",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B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",""),"k1=",""),"k2=",""),"k3=",""),"ka=",""),"kd=",""),"k=",""),"°c",""),"degc",""),"m-1",""),"micromolar",""),"um",""),"(",""),")","")),"cardiac",""),"heart",""),"muscle",""))</f>
        <v>bovine</v>
      </c>
      <c r="AD5" s="0" t="str">
        <f aca="false">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C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",""),"k1=",""),"k2=",""),"k3=",""),"ka=",""),"kd=",""),"k=",""),"°c",""),"degc",""),"m-1",""),"micromolar",""),"um",""),"(",""),")","")),"c","")</f>
        <v>4</v>
      </c>
      <c r="AE5" s="0" t="str">
        <f aca="false">IF(AND(IFERROR(SEARCH("tnc",LOWER(D5&amp;"")),0)&gt;0,IFERROR(SEARCH("tni",LOWER(D5&amp;"")),0)&gt;0),"tnitnc",IF(IFERROR(SEARCH("tnc",LOWER(D5&amp;"")),0)&gt;0,"tnc",IF(IFERROR(SEARCH("tn",LOWER(D5&amp;"")),0)&gt;0,"tn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D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",""),"k1=",""),"k2=",""),"k3=",""),"ka=",""),"kd=",""),"k=",""),"°c",""),"degc",""),"m-1",""),"micromolar",""),"um",""),"(",""),")","")),"-",""),"/",""),"reconstituted",""),"complex",""))))</f>
        <v>tnc</v>
      </c>
      <c r="AF5" s="0" t="str">
        <f aca="false">IF(OR(IFERROR(SEARCH("scintillation",LOWER(E5&amp;"")),0)&gt;0,IFERROR(SEARCH("equilibrium dialysis",LOWER(E5&amp;"")),0)&gt;0),"sc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E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",""),"k1=",""),"k2=",""),"k3=",""),"ka=",""),"kd=",""),"k=",""),"°c",""),"degc",""),"m-1",""),"micromolar",""),"um",""),"(",""),")","")))</f>
        <v>sc</v>
      </c>
      <c r="AG5" s="0" t="str">
        <f aca="false">IF(OR(IFERROR(SEARCH("no added",LOWER(F5&amp;"")),0)&gt;0,IFERROR(SEARCH("not added",LOWER(F5&amp;"")),0)&gt;0,IFERROR(SEARCH("absence",LOWER(F5&amp;"")),0)&gt;0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0.001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-3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-6m"),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",""),"k1=",""),"k2=",""),"k3=",""),"ka=",""),"kd=",""),"k=",""),"°c",""),"degc",""),"m-1",""),"micromolar",""),"um",""),"(",""),")","")),"mgcl2",""),"mg2+",""),"magnesium",""),"mm",""))</f>
        <v>4</v>
      </c>
      <c r="AH5" s="0" t="str">
        <f aca="false">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G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",""),"k1=",""),"k2=",""),"k3=",""),"ka=",""),"kd=",""),"k=",""),"°c",""),"degc",""),"m-1",""),"micromolar",""),"um",""),"(",""),")","")),"e","x10"),"+","")</f>
        <v>2.5x105</v>
      </c>
      <c r="AI5" s="0" t="str">
        <f aca="false">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H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</f>
        <v>4</v>
      </c>
      <c r="AK5" s="0" t="str">
        <f aca="false">IF(IFERROR(SEARCH("bovine",LOWER(J5&amp;"")),0)&gt;0,"bovine",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J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",""),"k1=",""),"k2=",""),"k3=",""),"ka=",""),"kd=",""),"k=",""),"°c",""),"degc",""),"m-1",""),"micromolar",""),"um",""),"(",""),")","")),"cardiac",""),"heart",""),"muscle",""))</f>
        <v/>
      </c>
      <c r="AL5" s="0" t="str">
        <f aca="false">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K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",""),"k1=",""),"k2=",""),"k3=",""),"ka=",""),"kd=",""),"k=",""),"°c",""),"degc",""),"m-1",""),"micromolar",""),"um",""),"(",""),")","")),"c","")</f>
        <v/>
      </c>
      <c r="AM5" s="0" t="str">
        <f aca="false">IF(AND(IFERROR(SEARCH("tnc",LOWER(L5&amp;"")),0)&gt;0,IFERROR(SEARCH("tni",LOWER(L5&amp;"")),0)&gt;0),"tnitnc",IF(IFERROR(SEARCH("tnc",LOWER(L5&amp;"")),0)&gt;0,"tnc",IF(IFERROR(SEARCH("tn",LOWER(L5&amp;"")),0)&gt;0,"tn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L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",""),"k1=",""),"k2=",""),"k3=",""),"ka=",""),"kd=",""),"k=",""),"°c",""),"degc",""),"m-1",""),"micromolar",""),"um",""),"(",""),")","")),"-",""),"/",""),"reconstituted",""),"complex",""))))</f>
        <v/>
      </c>
      <c r="AN5" s="0" t="str">
        <f aca="false">IF(OR(IFERROR(SEARCH("scintillation",LOWER(M5&amp;"")),0)&gt;0,IFERROR(SEARCH("equilibrium dialysis",LOWER(M5&amp;"")),0)&gt;0),"sc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M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",""),"k1=",""),"k2=",""),"k3=",""),"ka=",""),"kd=",""),"k=",""),"°c",""),"degc",""),"m-1",""),"micromolar",""),"um",""),"(",""),")","")))</f>
        <v/>
      </c>
      <c r="AO5" s="0" t="str">
        <f aca="false">IF(OR(IFERROR(SEARCH("no added",LOWER(N5&amp;"")),0)&gt;0,IFERROR(SEARCH("not added",LOWER(N5&amp;"")),0)&gt;0,IFERROR(SEARCH("absence",LOWER(N5&amp;"")),0)&gt;0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0.001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-3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-6m"),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",""),"k1=",""),"k2=",""),"k3=",""),"ka=",""),"kd=",""),"k=",""),"°c",""),"degc",""),"m-1",""),"micromolar",""),"um",""),"(",""),")","")),"mgcl2",""),"mg2+",""),"magnesium",""),"mm",""))</f>
        <v/>
      </c>
      <c r="AP5" s="0" t="str">
        <f aca="false">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O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",""),"k1=",""),"k2=",""),"k3=",""),"ka=",""),"kd=",""),"k=",""),"°c",""),"degc",""),"m-1",""),"micromolar",""),"um",""),"(",""),")","")),"e","x10"),"+","")</f>
        <v/>
      </c>
      <c r="AQ5" s="0" t="str">
        <f aca="false">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P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</f>
        <v/>
      </c>
    </row>
    <row r="6" customFormat="false" ht="15" hidden="false" customHeight="false" outlineLevel="0" collapsed="false">
      <c r="A6" s="10" t="n">
        <v>3</v>
      </c>
      <c r="B6" s="11" t="s">
        <v>49</v>
      </c>
      <c r="C6" s="11" t="n">
        <v>4</v>
      </c>
      <c r="D6" s="11" t="s">
        <v>54</v>
      </c>
      <c r="E6" s="11" t="s">
        <v>51</v>
      </c>
      <c r="F6" s="11" t="s">
        <v>52</v>
      </c>
      <c r="G6" s="11" t="s">
        <v>55</v>
      </c>
      <c r="H6" s="11" t="n">
        <v>1</v>
      </c>
      <c r="J6" s="12"/>
      <c r="K6" s="12"/>
      <c r="L6" s="12"/>
      <c r="M6" s="12"/>
      <c r="N6" s="12"/>
      <c r="O6" s="12"/>
      <c r="P6" s="12"/>
      <c r="R6" s="13" t="n">
        <f aca="false">IF(J6="",0,IF(EXACT($AC6,$AK6),1,0))</f>
        <v>0</v>
      </c>
      <c r="S6" s="13" t="n">
        <f aca="false">IF(K6="",0,IF(EXACT($AD6,$AL6),1,0))</f>
        <v>0</v>
      </c>
      <c r="T6" s="13" t="n">
        <f aca="false">IF(L6="",0,IF(EXACT($AE6,$AM6),1,0))</f>
        <v>0</v>
      </c>
      <c r="U6" s="13" t="n">
        <f aca="false">IF(M6="",0,IF(EXACT($AF6,$AN6),1,0))</f>
        <v>0</v>
      </c>
      <c r="V6" s="13" t="n">
        <f aca="false">IF(N6="",0,IF(EXACT($AG6,$AO6),1,0))</f>
        <v>0</v>
      </c>
      <c r="W6" s="13" t="n">
        <f aca="false">IF(O6="",0,IF(EXACT($AH6,$AP6),1,0))</f>
        <v>0</v>
      </c>
      <c r="X6" s="13" t="n">
        <f aca="false">IF(P6="",0,IF(EXACT($AI6,$AQ6),1,0))</f>
        <v>0</v>
      </c>
      <c r="Y6" s="13" t="str">
        <f aca="false">IF(COUNTA(J6:P6)&lt;7,"",SUM(R6:X6))</f>
        <v/>
      </c>
      <c r="Z6" s="14"/>
      <c r="AA6" s="13" t="str">
        <f aca="false">IF(COUNTA(J6:P6)&lt;7,"",IF(Z6="",Y6,Z6))</f>
        <v/>
      </c>
      <c r="AC6" s="0" t="str">
        <f aca="false">IF(IFERROR(SEARCH("bovine",LOWER(B6&amp;"")),0)&gt;0,"bovine",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B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",""),"k1=",""),"k2=",""),"k3=",""),"ka=",""),"kd=",""),"k=",""),"°c",""),"degc",""),"m-1",""),"micromolar",""),"um",""),"(",""),")","")),"cardiac",""),"heart",""),"muscle",""))</f>
        <v>bovine</v>
      </c>
      <c r="AD6" s="0" t="str">
        <f aca="false">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C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",""),"k1=",""),"k2=",""),"k3=",""),"ka=",""),"kd=",""),"k=",""),"°c",""),"degc",""),"m-1",""),"micromolar",""),"um",""),"(",""),")","")),"c","")</f>
        <v>4</v>
      </c>
      <c r="AE6" s="0" t="str">
        <f aca="false">IF(AND(IFERROR(SEARCH("tnc",LOWER(D6&amp;"")),0)&gt;0,IFERROR(SEARCH("tni",LOWER(D6&amp;"")),0)&gt;0),"tnitnc",IF(IFERROR(SEARCH("tnc",LOWER(D6&amp;"")),0)&gt;0,"tnc",IF(IFERROR(SEARCH("tn",LOWER(D6&amp;"")),0)&gt;0,"tn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D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",""),"k1=",""),"k2=",""),"k3=",""),"ka=",""),"kd=",""),"k=",""),"°c",""),"degc",""),"m-1",""),"micromolar",""),"um",""),"(",""),")","")),"-",""),"/",""),"reconstituted",""),"complex",""))))</f>
        <v>tnitnc</v>
      </c>
      <c r="AF6" s="0" t="str">
        <f aca="false">IF(OR(IFERROR(SEARCH("scintillation",LOWER(E6&amp;"")),0)&gt;0,IFERROR(SEARCH("equilibrium dialysis",LOWER(E6&amp;"")),0)&gt;0),"sc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E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",""),"k1=",""),"k2=",""),"k3=",""),"ka=",""),"kd=",""),"k=",""),"°c",""),"degc",""),"m-1",""),"micromolar",""),"um",""),"(",""),")","")))</f>
        <v>sc</v>
      </c>
      <c r="AG6" s="0" t="str">
        <f aca="false">IF(OR(IFERROR(SEARCH("no added",LOWER(F6&amp;"")),0)&gt;0,IFERROR(SEARCH("not added",LOWER(F6&amp;"")),0)&gt;0,IFERROR(SEARCH("absence",LOWER(F6&amp;"")),0)&gt;0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0.001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-3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-6m"),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",""),"k1=",""),"k2=",""),"k3=",""),"ka=",""),"kd=",""),"k=",""),"°c",""),"degc",""),"m-1",""),"micromolar",""),"um",""),"(",""),")","")),"mgcl2",""),"mg2+",""),"magnesium",""),"mm",""))</f>
        <v>none</v>
      </c>
      <c r="AH6" s="0" t="str">
        <f aca="false">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G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",""),"k1=",""),"k2=",""),"k3=",""),"ka=",""),"kd=",""),"k=",""),"°c",""),"degc",""),"m-1",""),"micromolar",""),"um",""),"(",""),")","")),"e","x10"),"+","")</f>
        <v>1x106</v>
      </c>
      <c r="AI6" s="0" t="str">
        <f aca="false">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H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</f>
        <v>1</v>
      </c>
      <c r="AK6" s="0" t="str">
        <f aca="false">IF(IFERROR(SEARCH("bovine",LOWER(J6&amp;"")),0)&gt;0,"bovine",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J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",""),"k1=",""),"k2=",""),"k3=",""),"ka=",""),"kd=",""),"k=",""),"°c",""),"degc",""),"m-1",""),"micromolar",""),"um",""),"(",""),")","")),"cardiac",""),"heart",""),"muscle",""))</f>
        <v/>
      </c>
      <c r="AL6" s="0" t="str">
        <f aca="false">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K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",""),"k1=",""),"k2=",""),"k3=",""),"ka=",""),"kd=",""),"k=",""),"°c",""),"degc",""),"m-1",""),"micromolar",""),"um",""),"(",""),")","")),"c","")</f>
        <v/>
      </c>
      <c r="AM6" s="0" t="str">
        <f aca="false">IF(AND(IFERROR(SEARCH("tnc",LOWER(L6&amp;"")),0)&gt;0,IFERROR(SEARCH("tni",LOWER(L6&amp;"")),0)&gt;0),"tnitnc",IF(IFERROR(SEARCH("tnc",LOWER(L6&amp;"")),0)&gt;0,"tnc",IF(IFERROR(SEARCH("tn",LOWER(L6&amp;"")),0)&gt;0,"tn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L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",""),"k1=",""),"k2=",""),"k3=",""),"ka=",""),"kd=",""),"k=",""),"°c",""),"degc",""),"m-1",""),"micromolar",""),"um",""),"(",""),")","")),"-",""),"/",""),"reconstituted",""),"complex",""))))</f>
        <v/>
      </c>
      <c r="AN6" s="0" t="str">
        <f aca="false">IF(OR(IFERROR(SEARCH("scintillation",LOWER(M6&amp;"")),0)&gt;0,IFERROR(SEARCH("equilibrium dialysis",LOWER(M6&amp;"")),0)&gt;0),"sc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M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",""),"k1=",""),"k2=",""),"k3=",""),"ka=",""),"kd=",""),"k=",""),"°c",""),"degc",""),"m-1",""),"micromolar",""),"um",""),"(",""),")","")))</f>
        <v/>
      </c>
      <c r="AO6" s="0" t="str">
        <f aca="false">IF(OR(IFERROR(SEARCH("no added",LOWER(N6&amp;"")),0)&gt;0,IFERROR(SEARCH("not added",LOWER(N6&amp;"")),0)&gt;0,IFERROR(SEARCH("absence",LOWER(N6&amp;"")),0)&gt;0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0.001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-3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-6m"),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",""),"k1=",""),"k2=",""),"k3=",""),"ka=",""),"kd=",""),"k=",""),"°c",""),"degc",""),"m-1",""),"micromolar",""),"um",""),"(",""),")","")),"mgcl2",""),"mg2+",""),"magnesium",""),"mm",""))</f>
        <v/>
      </c>
      <c r="AP6" s="0" t="str">
        <f aca="false">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O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",""),"k1=",""),"k2=",""),"k3=",""),"ka=",""),"kd=",""),"k=",""),"°c",""),"degc",""),"m-1",""),"micromolar",""),"um",""),"(",""),")","")),"e","x10"),"+","")</f>
        <v/>
      </c>
      <c r="AQ6" s="0" t="str">
        <f aca="false">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P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</f>
        <v/>
      </c>
    </row>
    <row r="7" customFormat="false" ht="15" hidden="false" customHeight="false" outlineLevel="0" collapsed="false">
      <c r="A7" s="10" t="n">
        <v>4</v>
      </c>
      <c r="B7" s="11" t="s">
        <v>49</v>
      </c>
      <c r="C7" s="11" t="n">
        <v>4</v>
      </c>
      <c r="D7" s="11" t="s">
        <v>54</v>
      </c>
      <c r="E7" s="11" t="s">
        <v>51</v>
      </c>
      <c r="F7" s="11" t="n">
        <v>4</v>
      </c>
      <c r="G7" s="11" t="s">
        <v>55</v>
      </c>
      <c r="H7" s="11" t="n">
        <v>1</v>
      </c>
      <c r="J7" s="12"/>
      <c r="K7" s="12"/>
      <c r="L7" s="12"/>
      <c r="M7" s="12"/>
      <c r="N7" s="12"/>
      <c r="O7" s="12"/>
      <c r="P7" s="12"/>
      <c r="R7" s="13" t="n">
        <f aca="false">IF(J7="",0,IF(EXACT($AC7,$AK7),1,0))</f>
        <v>0</v>
      </c>
      <c r="S7" s="13" t="n">
        <f aca="false">IF(K7="",0,IF(EXACT($AD7,$AL7),1,0))</f>
        <v>0</v>
      </c>
      <c r="T7" s="13" t="n">
        <f aca="false">IF(L7="",0,IF(EXACT($AE7,$AM7),1,0))</f>
        <v>0</v>
      </c>
      <c r="U7" s="13" t="n">
        <f aca="false">IF(M7="",0,IF(EXACT($AF7,$AN7),1,0))</f>
        <v>0</v>
      </c>
      <c r="V7" s="13" t="n">
        <f aca="false">IF(N7="",0,IF(EXACT($AG7,$AO7),1,0))</f>
        <v>0</v>
      </c>
      <c r="W7" s="13" t="n">
        <f aca="false">IF(O7="",0,IF(EXACT($AH7,$AP7),1,0))</f>
        <v>0</v>
      </c>
      <c r="X7" s="13" t="n">
        <f aca="false">IF(P7="",0,IF(EXACT($AI7,$AQ7),1,0))</f>
        <v>0</v>
      </c>
      <c r="Y7" s="13" t="str">
        <f aca="false">IF(COUNTA(J7:P7)&lt;7,"",SUM(R7:X7))</f>
        <v/>
      </c>
      <c r="Z7" s="14"/>
      <c r="AA7" s="13" t="str">
        <f aca="false">IF(COUNTA(J7:P7)&lt;7,"",IF(Z7="",Y7,Z7))</f>
        <v/>
      </c>
      <c r="AC7" s="0" t="str">
        <f aca="false">IF(IFERROR(SEARCH("bovine",LOWER(B7&amp;"")),0)&gt;0,"bovine",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B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",""),"k1=",""),"k2=",""),"k3=",""),"ka=",""),"kd=",""),"k=",""),"°c",""),"degc",""),"m-1",""),"micromolar",""),"um",""),"(",""),")","")),"cardiac",""),"heart",""),"muscle",""))</f>
        <v>bovine</v>
      </c>
      <c r="AD7" s="0" t="str">
        <f aca="false">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C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",""),"k1=",""),"k2=",""),"k3=",""),"ka=",""),"kd=",""),"k=",""),"°c",""),"degc",""),"m-1",""),"micromolar",""),"um",""),"(",""),")","")),"c","")</f>
        <v>4</v>
      </c>
      <c r="AE7" s="0" t="str">
        <f aca="false">IF(AND(IFERROR(SEARCH("tnc",LOWER(D7&amp;"")),0)&gt;0,IFERROR(SEARCH("tni",LOWER(D7&amp;"")),0)&gt;0),"tnitnc",IF(IFERROR(SEARCH("tnc",LOWER(D7&amp;"")),0)&gt;0,"tnc",IF(IFERROR(SEARCH("tn",LOWER(D7&amp;"")),0)&gt;0,"tn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D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",""),"k1=",""),"k2=",""),"k3=",""),"ka=",""),"kd=",""),"k=",""),"°c",""),"degc",""),"m-1",""),"micromolar",""),"um",""),"(",""),")","")),"-",""),"/",""),"reconstituted",""),"complex",""))))</f>
        <v>tnitnc</v>
      </c>
      <c r="AF7" s="0" t="str">
        <f aca="false">IF(OR(IFERROR(SEARCH("scintillation",LOWER(E7&amp;"")),0)&gt;0,IFERROR(SEARCH("equilibrium dialysis",LOWER(E7&amp;"")),0)&gt;0),"sc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E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",""),"k1=",""),"k2=",""),"k3=",""),"ka=",""),"kd=",""),"k=",""),"°c",""),"degc",""),"m-1",""),"micromolar",""),"um",""),"(",""),")","")))</f>
        <v>sc</v>
      </c>
      <c r="AG7" s="0" t="str">
        <f aca="false">IF(OR(IFERROR(SEARCH("no added",LOWER(F7&amp;"")),0)&gt;0,IFERROR(SEARCH("not added",LOWER(F7&amp;"")),0)&gt;0,IFERROR(SEARCH("absence",LOWER(F7&amp;"")),0)&gt;0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0.001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-3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-6m"),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",""),"k1=",""),"k2=",""),"k3=",""),"ka=",""),"kd=",""),"k=",""),"°c",""),"degc",""),"m-1",""),"micromolar",""),"um",""),"(",""),")","")),"mgcl2",""),"mg2+",""),"magnesium",""),"mm",""))</f>
        <v>4</v>
      </c>
      <c r="AH7" s="0" t="str">
        <f aca="false">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G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",""),"k1=",""),"k2=",""),"k3=",""),"ka=",""),"kd=",""),"k=",""),"°c",""),"degc",""),"m-1",""),"micromolar",""),"um",""),"(",""),")","")),"e","x10"),"+","")</f>
        <v>1x106</v>
      </c>
      <c r="AI7" s="0" t="str">
        <f aca="false">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H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</f>
        <v>1</v>
      </c>
      <c r="AK7" s="0" t="str">
        <f aca="false">IF(IFERROR(SEARCH("bovine",LOWER(J7&amp;"")),0)&gt;0,"bovine",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J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",""),"k1=",""),"k2=",""),"k3=",""),"ka=",""),"kd=",""),"k=",""),"°c",""),"degc",""),"m-1",""),"micromolar",""),"um",""),"(",""),")","")),"cardiac",""),"heart",""),"muscle",""))</f>
        <v/>
      </c>
      <c r="AL7" s="0" t="str">
        <f aca="false">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K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",""),"k1=",""),"k2=",""),"k3=",""),"ka=",""),"kd=",""),"k=",""),"°c",""),"degc",""),"m-1",""),"micromolar",""),"um",""),"(",""),")","")),"c","")</f>
        <v/>
      </c>
      <c r="AM7" s="0" t="str">
        <f aca="false">IF(AND(IFERROR(SEARCH("tnc",LOWER(L7&amp;"")),0)&gt;0,IFERROR(SEARCH("tni",LOWER(L7&amp;"")),0)&gt;0),"tnitnc",IF(IFERROR(SEARCH("tnc",LOWER(L7&amp;"")),0)&gt;0,"tnc",IF(IFERROR(SEARCH("tn",LOWER(L7&amp;"")),0)&gt;0,"tn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L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",""),"k1=",""),"k2=",""),"k3=",""),"ka=",""),"kd=",""),"k=",""),"°c",""),"degc",""),"m-1",""),"micromolar",""),"um",""),"(",""),")","")),"-",""),"/",""),"reconstituted",""),"complex",""))))</f>
        <v/>
      </c>
      <c r="AN7" s="0" t="str">
        <f aca="false">IF(OR(IFERROR(SEARCH("scintillation",LOWER(M7&amp;"")),0)&gt;0,IFERROR(SEARCH("equilibrium dialysis",LOWER(M7&amp;"")),0)&gt;0),"sc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M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",""),"k1=",""),"k2=",""),"k3=",""),"ka=",""),"kd=",""),"k=",""),"°c",""),"degc",""),"m-1",""),"micromolar",""),"um",""),"(",""),")","")))</f>
        <v/>
      </c>
      <c r="AO7" s="0" t="str">
        <f aca="false">IF(OR(IFERROR(SEARCH("no added",LOWER(N7&amp;"")),0)&gt;0,IFERROR(SEARCH("not added",LOWER(N7&amp;"")),0)&gt;0,IFERROR(SEARCH("absence",LOWER(N7&amp;"")),0)&gt;0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0.001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-3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-6m"),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",""),"k1=",""),"k2=",""),"k3=",""),"ka=",""),"kd=",""),"k=",""),"°c",""),"degc",""),"m-1",""),"micromolar",""),"um",""),"(",""),")","")),"mgcl2",""),"mg2+",""),"magnesium",""),"mm",""))</f>
        <v/>
      </c>
      <c r="AP7" s="0" t="str">
        <f aca="false">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O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",""),"k1=",""),"k2=",""),"k3=",""),"ka=",""),"kd=",""),"k=",""),"°c",""),"degc",""),"m-1",""),"micromolar",""),"um",""),"(",""),")","")),"e","x10"),"+","")</f>
        <v/>
      </c>
      <c r="AQ7" s="0" t="str">
        <f aca="false">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P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</f>
        <v/>
      </c>
    </row>
    <row r="8" customFormat="false" ht="15" hidden="false" customHeight="false" outlineLevel="0" collapsed="false">
      <c r="A8" s="10" t="n">
        <v>5</v>
      </c>
      <c r="B8" s="11" t="s">
        <v>49</v>
      </c>
      <c r="C8" s="11" t="n">
        <v>4</v>
      </c>
      <c r="D8" s="11" t="s">
        <v>56</v>
      </c>
      <c r="E8" s="11" t="s">
        <v>51</v>
      </c>
      <c r="F8" s="11" t="s">
        <v>52</v>
      </c>
      <c r="G8" s="11" t="s">
        <v>57</v>
      </c>
      <c r="H8" s="11" t="n">
        <v>0.4</v>
      </c>
      <c r="J8" s="12"/>
      <c r="K8" s="12"/>
      <c r="L8" s="12"/>
      <c r="M8" s="12"/>
      <c r="N8" s="12"/>
      <c r="O8" s="12"/>
      <c r="P8" s="12"/>
      <c r="R8" s="13" t="n">
        <f aca="false">IF(J8="",0,IF(EXACT($AC8,$AK8),1,0))</f>
        <v>0</v>
      </c>
      <c r="S8" s="13" t="n">
        <f aca="false">IF(K8="",0,IF(EXACT($AD8,$AL8),1,0))</f>
        <v>0</v>
      </c>
      <c r="T8" s="13" t="n">
        <f aca="false">IF(L8="",0,IF(EXACT($AE8,$AM8),1,0))</f>
        <v>0</v>
      </c>
      <c r="U8" s="13" t="n">
        <f aca="false">IF(M8="",0,IF(EXACT($AF8,$AN8),1,0))</f>
        <v>0</v>
      </c>
      <c r="V8" s="13" t="n">
        <f aca="false">IF(N8="",0,IF(EXACT($AG8,$AO8),1,0))</f>
        <v>0</v>
      </c>
      <c r="W8" s="13" t="n">
        <f aca="false">IF(O8="",0,IF(EXACT($AH8,$AP8),1,0))</f>
        <v>0</v>
      </c>
      <c r="X8" s="13" t="n">
        <f aca="false">IF(P8="",0,IF(EXACT($AI8,$AQ8),1,0))</f>
        <v>0</v>
      </c>
      <c r="Y8" s="13" t="str">
        <f aca="false">IF(COUNTA(J8:P8)&lt;7,"",SUM(R8:X8))</f>
        <v/>
      </c>
      <c r="Z8" s="14"/>
      <c r="AA8" s="13" t="str">
        <f aca="false">IF(COUNTA(J8:P8)&lt;7,"",IF(Z8="",Y8,Z8))</f>
        <v/>
      </c>
      <c r="AC8" s="0" t="str">
        <f aca="false">IF(IFERROR(SEARCH("bovine",LOWER(B8&amp;"")),0)&gt;0,"bovine",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B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",""),"k1=",""),"k2=",""),"k3=",""),"ka=",""),"kd=",""),"k=",""),"°c",""),"degc",""),"m-1",""),"micromolar",""),"um",""),"(",""),")","")),"cardiac",""),"heart",""),"muscle",""))</f>
        <v>bovine</v>
      </c>
      <c r="AD8" s="0" t="str">
        <f aca="false">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C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",""),"k1=",""),"k2=",""),"k3=",""),"ka=",""),"kd=",""),"k=",""),"°c",""),"degc",""),"m-1",""),"micromolar",""),"um",""),"(",""),")","")),"c","")</f>
        <v>4</v>
      </c>
      <c r="AE8" s="0" t="str">
        <f aca="false">IF(AND(IFERROR(SEARCH("tnc",LOWER(D8&amp;"")),0)&gt;0,IFERROR(SEARCH("tni",LOWER(D8&amp;"")),0)&gt;0),"tnitnc",IF(IFERROR(SEARCH("tnc",LOWER(D8&amp;"")),0)&gt;0,"tnc",IF(IFERROR(SEARCH("tn",LOWER(D8&amp;"")),0)&gt;0,"tn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D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",""),"k1=",""),"k2=",""),"k3=",""),"ka=",""),"kd=",""),"k=",""),"°c",""),"degc",""),"m-1",""),"micromolar",""),"um",""),"(",""),")","")),"-",""),"/",""),"reconstituted",""),"complex",""))))</f>
        <v>tn</v>
      </c>
      <c r="AF8" s="0" t="str">
        <f aca="false">IF(OR(IFERROR(SEARCH("scintillation",LOWER(E8&amp;"")),0)&gt;0,IFERROR(SEARCH("equilibrium dialysis",LOWER(E8&amp;"")),0)&gt;0),"sc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E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",""),"k1=",""),"k2=",""),"k3=",""),"ka=",""),"kd=",""),"k=",""),"°c",""),"degc",""),"m-1",""),"micromolar",""),"um",""),"(",""),")","")))</f>
        <v>sc</v>
      </c>
      <c r="AG8" s="0" t="str">
        <f aca="false">IF(OR(IFERROR(SEARCH("no added",LOWER(F8&amp;"")),0)&gt;0,IFERROR(SEARCH("not added",LOWER(F8&amp;"")),0)&gt;0,IFERROR(SEARCH("absence",LOWER(F8&amp;"")),0)&gt;0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0.001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-3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-6m"),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",""),"k1=",""),"k2=",""),"k3=",""),"ka=",""),"kd=",""),"k=",""),"°c",""),"degc",""),"m-1",""),"micromolar",""),"um",""),"(",""),")","")),"mgcl2",""),"mg2+",""),"magnesium",""),"mm",""))</f>
        <v>none</v>
      </c>
      <c r="AH8" s="0" t="str">
        <f aca="false">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G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",""),"k1=",""),"k2=",""),"k3=",""),"ka=",""),"kd=",""),"k=",""),"°c",""),"degc",""),"m-1",""),"micromolar",""),"um",""),"(",""),")","")),"e","x10"),"+","")</f>
        <v>2.5x106</v>
      </c>
      <c r="AI8" s="0" t="str">
        <f aca="false">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H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</f>
        <v>0.4</v>
      </c>
      <c r="AK8" s="0" t="str">
        <f aca="false">IF(IFERROR(SEARCH("bovine",LOWER(J8&amp;"")),0)&gt;0,"bovine",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J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",""),"k1=",""),"k2=",""),"k3=",""),"ka=",""),"kd=",""),"k=",""),"°c",""),"degc",""),"m-1",""),"micromolar",""),"um",""),"(",""),")","")),"cardiac",""),"heart",""),"muscle",""))</f>
        <v/>
      </c>
      <c r="AL8" s="0" t="str">
        <f aca="false">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K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",""),"k1=",""),"k2=",""),"k3=",""),"ka=",""),"kd=",""),"k=",""),"°c",""),"degc",""),"m-1",""),"micromolar",""),"um",""),"(",""),")","")),"c","")</f>
        <v/>
      </c>
      <c r="AM8" s="0" t="str">
        <f aca="false">IF(AND(IFERROR(SEARCH("tnc",LOWER(L8&amp;"")),0)&gt;0,IFERROR(SEARCH("tni",LOWER(L8&amp;"")),0)&gt;0),"tnitnc",IF(IFERROR(SEARCH("tnc",LOWER(L8&amp;"")),0)&gt;0,"tnc",IF(IFERROR(SEARCH("tn",LOWER(L8&amp;"")),0)&gt;0,"tn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L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",""),"k1=",""),"k2=",""),"k3=",""),"ka=",""),"kd=",""),"k=",""),"°c",""),"degc",""),"m-1",""),"micromolar",""),"um",""),"(",""),")","")),"-",""),"/",""),"reconstituted",""),"complex",""))))</f>
        <v/>
      </c>
      <c r="AN8" s="0" t="str">
        <f aca="false">IF(OR(IFERROR(SEARCH("scintillation",LOWER(M8&amp;"")),0)&gt;0,IFERROR(SEARCH("equilibrium dialysis",LOWER(M8&amp;"")),0)&gt;0),"sc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M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",""),"k1=",""),"k2=",""),"k3=",""),"ka=",""),"kd=",""),"k=",""),"°c",""),"degc",""),"m-1",""),"micromolar",""),"um",""),"(",""),")","")))</f>
        <v/>
      </c>
      <c r="AO8" s="0" t="str">
        <f aca="false">IF(OR(IFERROR(SEARCH("no added",LOWER(N8&amp;"")),0)&gt;0,IFERROR(SEARCH("not added",LOWER(N8&amp;"")),0)&gt;0,IFERROR(SEARCH("absence",LOWER(N8&amp;"")),0)&gt;0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0.001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-3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-6m"),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",""),"k1=",""),"k2=",""),"k3=",""),"ka=",""),"kd=",""),"k=",""),"°c",""),"degc",""),"m-1",""),"micromolar",""),"um",""),"(",""),")","")),"mgcl2",""),"mg2+",""),"magnesium",""),"mm",""))</f>
        <v/>
      </c>
      <c r="AP8" s="0" t="str">
        <f aca="false">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O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",""),"k1=",""),"k2=",""),"k3=",""),"ka=",""),"kd=",""),"k=",""),"°c",""),"degc",""),"m-1",""),"micromolar",""),"um",""),"(",""),")","")),"e","x10"),"+","")</f>
        <v/>
      </c>
      <c r="AQ8" s="0" t="str">
        <f aca="false">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P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</f>
        <v/>
      </c>
    </row>
    <row r="9" customFormat="false" ht="15" hidden="false" customHeight="false" outlineLevel="0" collapsed="false">
      <c r="A9" s="10" t="n">
        <v>6</v>
      </c>
      <c r="B9" s="11" t="s">
        <v>49</v>
      </c>
      <c r="C9" s="11" t="n">
        <v>4</v>
      </c>
      <c r="D9" s="11" t="s">
        <v>56</v>
      </c>
      <c r="E9" s="11" t="s">
        <v>51</v>
      </c>
      <c r="F9" s="11" t="n">
        <v>4</v>
      </c>
      <c r="G9" s="11" t="s">
        <v>57</v>
      </c>
      <c r="H9" s="11" t="n">
        <v>0.4</v>
      </c>
      <c r="J9" s="12"/>
      <c r="K9" s="12"/>
      <c r="L9" s="12"/>
      <c r="M9" s="12"/>
      <c r="N9" s="12"/>
      <c r="O9" s="12"/>
      <c r="P9" s="12"/>
      <c r="R9" s="13" t="n">
        <f aca="false">IF(J9="",0,IF(EXACT($AC9,$AK9),1,0))</f>
        <v>0</v>
      </c>
      <c r="S9" s="13" t="n">
        <f aca="false">IF(K9="",0,IF(EXACT($AD9,$AL9),1,0))</f>
        <v>0</v>
      </c>
      <c r="T9" s="13" t="n">
        <f aca="false">IF(L9="",0,IF(EXACT($AE9,$AM9),1,0))</f>
        <v>0</v>
      </c>
      <c r="U9" s="13" t="n">
        <f aca="false">IF(M9="",0,IF(EXACT($AF9,$AN9),1,0))</f>
        <v>0</v>
      </c>
      <c r="V9" s="13" t="n">
        <f aca="false">IF(N9="",0,IF(EXACT($AG9,$AO9),1,0))</f>
        <v>0</v>
      </c>
      <c r="W9" s="13" t="n">
        <f aca="false">IF(O9="",0,IF(EXACT($AH9,$AP9),1,0))</f>
        <v>0</v>
      </c>
      <c r="X9" s="13" t="n">
        <f aca="false">IF(P9="",0,IF(EXACT($AI9,$AQ9),1,0))</f>
        <v>0</v>
      </c>
      <c r="Y9" s="13" t="str">
        <f aca="false">IF(COUNTA(J9:P9)&lt;7,"",SUM(R9:X9))</f>
        <v/>
      </c>
      <c r="Z9" s="14"/>
      <c r="AA9" s="13" t="str">
        <f aca="false">IF(COUNTA(J9:P9)&lt;7,"",IF(Z9="",Y9,Z9))</f>
        <v/>
      </c>
      <c r="AC9" s="0" t="str">
        <f aca="false">IF(IFERROR(SEARCH("bovine",LOWER(B9&amp;"")),0)&gt;0,"bovine",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B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",""),"k1=",""),"k2=",""),"k3=",""),"ka=",""),"kd=",""),"k=",""),"°c",""),"degc",""),"m-1",""),"micromolar",""),"um",""),"(",""),")","")),"cardiac",""),"heart",""),"muscle",""))</f>
        <v>bovine</v>
      </c>
      <c r="AD9" s="0" t="str">
        <f aca="false">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C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",""),"k1=",""),"k2=",""),"k3=",""),"ka=",""),"kd=",""),"k=",""),"°c",""),"degc",""),"m-1",""),"micromolar",""),"um",""),"(",""),")","")),"c","")</f>
        <v>4</v>
      </c>
      <c r="AE9" s="0" t="str">
        <f aca="false">IF(AND(IFERROR(SEARCH("tnc",LOWER(D9&amp;"")),0)&gt;0,IFERROR(SEARCH("tni",LOWER(D9&amp;"")),0)&gt;0),"tnitnc",IF(IFERROR(SEARCH("tnc",LOWER(D9&amp;"")),0)&gt;0,"tnc",IF(IFERROR(SEARCH("tn",LOWER(D9&amp;"")),0)&gt;0,"tn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D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",""),"k1=",""),"k2=",""),"k3=",""),"ka=",""),"kd=",""),"k=",""),"°c",""),"degc",""),"m-1",""),"micromolar",""),"um",""),"(",""),")","")),"-",""),"/",""),"reconstituted",""),"complex",""))))</f>
        <v>tn</v>
      </c>
      <c r="AF9" s="0" t="str">
        <f aca="false">IF(OR(IFERROR(SEARCH("scintillation",LOWER(E9&amp;"")),0)&gt;0,IFERROR(SEARCH("equilibrium dialysis",LOWER(E9&amp;"")),0)&gt;0),"sc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E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",""),"k1=",""),"k2=",""),"k3=",""),"ka=",""),"kd=",""),"k=",""),"°c",""),"degc",""),"m-1",""),"micromolar",""),"um",""),"(",""),")","")))</f>
        <v>sc</v>
      </c>
      <c r="AG9" s="0" t="str">
        <f aca="false">IF(OR(IFERROR(SEARCH("no added",LOWER(F9&amp;"")),0)&gt;0,IFERROR(SEARCH("not added",LOWER(F9&amp;"")),0)&gt;0,IFERROR(SEARCH("absence",LOWER(F9&amp;"")),0)&gt;0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0.001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-3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-6m"),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",""),"k1=",""),"k2=",""),"k3=",""),"ka=",""),"kd=",""),"k=",""),"°c",""),"degc",""),"m-1",""),"micromolar",""),"um",""),"(",""),")","")),"mgcl2",""),"mg2+",""),"magnesium",""),"mm",""))</f>
        <v>4</v>
      </c>
      <c r="AH9" s="0" t="str">
        <f aca="false">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G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",""),"k1=",""),"k2=",""),"k3=",""),"ka=",""),"kd=",""),"k=",""),"°c",""),"degc",""),"m-1",""),"micromolar",""),"um",""),"(",""),")","")),"e","x10"),"+","")</f>
        <v>2.5x106</v>
      </c>
      <c r="AI9" s="0" t="str">
        <f aca="false">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H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</f>
        <v>0.4</v>
      </c>
      <c r="AK9" s="0" t="str">
        <f aca="false">IF(IFERROR(SEARCH("bovine",LOWER(J9&amp;"")),0)&gt;0,"bovine",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J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",""),"k1=",""),"k2=",""),"k3=",""),"ka=",""),"kd=",""),"k=",""),"°c",""),"degc",""),"m-1",""),"micromolar",""),"um",""),"(",""),")","")),"cardiac",""),"heart",""),"muscle",""))</f>
        <v/>
      </c>
      <c r="AL9" s="0" t="str">
        <f aca="false">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K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",""),"k1=",""),"k2=",""),"k3=",""),"ka=",""),"kd=",""),"k=",""),"°c",""),"degc",""),"m-1",""),"micromolar",""),"um",""),"(",""),")","")),"c","")</f>
        <v/>
      </c>
      <c r="AM9" s="0" t="str">
        <f aca="false">IF(AND(IFERROR(SEARCH("tnc",LOWER(L9&amp;"")),0)&gt;0,IFERROR(SEARCH("tni",LOWER(L9&amp;"")),0)&gt;0),"tnitnc",IF(IFERROR(SEARCH("tnc",LOWER(L9&amp;"")),0)&gt;0,"tnc",IF(IFERROR(SEARCH("tn",LOWER(L9&amp;"")),0)&gt;0,"tn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L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",""),"k1=",""),"k2=",""),"k3=",""),"ka=",""),"kd=",""),"k=",""),"°c",""),"degc",""),"m-1",""),"micromolar",""),"um",""),"(",""),")","")),"-",""),"/",""),"reconstituted",""),"complex",""))))</f>
        <v/>
      </c>
      <c r="AN9" s="0" t="str">
        <f aca="false">IF(OR(IFERROR(SEARCH("scintillation",LOWER(M9&amp;"")),0)&gt;0,IFERROR(SEARCH("equilibrium dialysis",LOWER(M9&amp;"")),0)&gt;0),"sc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M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",""),"k1=",""),"k2=",""),"k3=",""),"ka=",""),"kd=",""),"k=",""),"°c",""),"degc",""),"m-1",""),"micromolar",""),"um",""),"(",""),")","")))</f>
        <v/>
      </c>
      <c r="AO9" s="0" t="str">
        <f aca="false">IF(OR(IFERROR(SEARCH("no added",LOWER(N9&amp;"")),0)&gt;0,IFERROR(SEARCH("not added",LOWER(N9&amp;"")),0)&gt;0,IFERROR(SEARCH("absence",LOWER(N9&amp;"")),0)&gt;0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0.001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-3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-6m"),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",""),"k1=",""),"k2=",""),"k3=",""),"ka=",""),"kd=",""),"k=",""),"°c",""),"degc",""),"m-1",""),"micromolar",""),"um",""),"(",""),")","")),"mgcl2",""),"mg2+",""),"magnesium",""),"mm",""))</f>
        <v/>
      </c>
      <c r="AP9" s="0" t="str">
        <f aca="false">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O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",""),"k1=",""),"k2=",""),"k3=",""),"ka=",""),"kd=",""),"k=",""),"°c",""),"degc",""),"m-1",""),"micromolar",""),"um",""),"(",""),")","")),"e","x10"),"+","")</f>
        <v/>
      </c>
      <c r="AQ9" s="0" t="str">
        <f aca="false">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P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</f>
        <v/>
      </c>
    </row>
    <row r="11" customFormat="false" ht="15" hidden="false" customHeight="false" outlineLevel="0" collapsed="false">
      <c r="W11" s="2" t="s">
        <v>58</v>
      </c>
      <c r="Y11" s="15" t="str">
        <f aca="false">IF(COUNTBLANK(J4:P9)&gt;0,"",SUM(AA4:AA9))</f>
        <v/>
      </c>
      <c r="Z11" s="3" t="s">
        <v>59</v>
      </c>
      <c r="AA11" s="16" t="str">
        <f aca="false">IF(Y11="","",Y11/42)</f>
        <v/>
      </c>
    </row>
    <row r="12" customFormat="false" ht="15" hidden="false" customHeight="false" outlineLevel="0" collapsed="false">
      <c r="W12" s="3" t="s">
        <v>60</v>
      </c>
    </row>
    <row r="14" customFormat="false" ht="15" hidden="false" customHeight="false" outlineLevel="0" collapsed="false">
      <c r="B14" s="3" t="s">
        <v>61</v>
      </c>
      <c r="J14" s="14"/>
    </row>
  </sheetData>
  <mergeCells count="3">
    <mergeCell ref="B2:H2"/>
    <mergeCell ref="J2:P2"/>
    <mergeCell ref="R2:X2"/>
  </mergeCells>
  <dataValidations count="1">
    <dataValidation allowBlank="false" error="Your /7 must be a whole number between 0 and 7." errorStyle="stop" errorTitle="Enter a score from 0 to 7" operator="between" showDropDown="false" showErrorMessage="true" showInputMessage="false" sqref="Z4:Z9" type="whole">
      <formula1>0</formula1>
      <formula2>7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Q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"/>
    <col collapsed="false" customWidth="true" hidden="false" outlineLevel="0" max="8" min="2" style="0" width="13"/>
    <col collapsed="false" customWidth="true" hidden="false" outlineLevel="0" max="9" min="9" style="0" width="2"/>
    <col collapsed="false" customWidth="true" hidden="false" outlineLevel="0" max="16" min="10" style="0" width="15"/>
    <col collapsed="false" customWidth="true" hidden="false" outlineLevel="0" max="17" min="17" style="0" width="2"/>
    <col collapsed="false" customWidth="true" hidden="false" outlineLevel="0" max="24" min="18" style="0" width="6"/>
    <col collapsed="false" customWidth="true" hidden="false" outlineLevel="0" max="25" min="25" style="0" width="8"/>
    <col collapsed="false" customWidth="true" hidden="false" outlineLevel="0" max="26" min="26" style="0" width="14"/>
    <col collapsed="false" customWidth="true" hidden="false" outlineLevel="0" max="27" min="27" style="0" width="9"/>
    <col collapsed="false" customWidth="true" hidden="true" outlineLevel="0" max="35" min="29" style="0" width="13"/>
    <col collapsed="false" customWidth="true" hidden="true" outlineLevel="0" max="43" min="37" style="0" width="13"/>
  </cols>
  <sheetData>
    <row r="1" customFormat="false" ht="17.35" hidden="false" customHeight="false" outlineLevel="0" collapsed="false">
      <c r="A1" s="1" t="s">
        <v>63</v>
      </c>
      <c r="C1" s="3" t="s">
        <v>19</v>
      </c>
    </row>
    <row r="2" customFormat="false" ht="15" hidden="false" customHeight="false" outlineLevel="0" collapsed="false">
      <c r="B2" s="4" t="s">
        <v>20</v>
      </c>
      <c r="C2" s="4"/>
      <c r="D2" s="4"/>
      <c r="E2" s="4"/>
      <c r="F2" s="4"/>
      <c r="G2" s="4"/>
      <c r="H2" s="4"/>
      <c r="J2" s="5" t="s">
        <v>21</v>
      </c>
      <c r="K2" s="5"/>
      <c r="L2" s="5"/>
      <c r="M2" s="5"/>
      <c r="N2" s="5"/>
      <c r="O2" s="5"/>
      <c r="P2" s="5"/>
      <c r="R2" s="6" t="s">
        <v>22</v>
      </c>
      <c r="S2" s="6"/>
      <c r="T2" s="6"/>
      <c r="U2" s="6"/>
      <c r="V2" s="6"/>
      <c r="W2" s="6"/>
      <c r="X2" s="6"/>
      <c r="Y2" s="7" t="s">
        <v>23</v>
      </c>
    </row>
    <row r="3" customFormat="false" ht="30" hidden="false" customHeight="true" outlineLevel="0" collapsed="false">
      <c r="A3" s="8" t="s">
        <v>24</v>
      </c>
      <c r="B3" s="9" t="s">
        <v>25</v>
      </c>
      <c r="C3" s="9" t="s">
        <v>26</v>
      </c>
      <c r="D3" s="9" t="s">
        <v>27</v>
      </c>
      <c r="E3" s="9" t="s">
        <v>28</v>
      </c>
      <c r="F3" s="9" t="s">
        <v>29</v>
      </c>
      <c r="G3" s="9" t="s">
        <v>30</v>
      </c>
      <c r="H3" s="9" t="s">
        <v>31</v>
      </c>
      <c r="J3" s="9" t="s">
        <v>25</v>
      </c>
      <c r="K3" s="9" t="s">
        <v>26</v>
      </c>
      <c r="L3" s="9" t="s">
        <v>27</v>
      </c>
      <c r="M3" s="9" t="s">
        <v>28</v>
      </c>
      <c r="N3" s="9" t="s">
        <v>29</v>
      </c>
      <c r="O3" s="9" t="s">
        <v>30</v>
      </c>
      <c r="P3" s="9" t="s">
        <v>31</v>
      </c>
      <c r="R3" s="9" t="s">
        <v>25</v>
      </c>
      <c r="S3" s="9" t="s">
        <v>26</v>
      </c>
      <c r="T3" s="9" t="s">
        <v>27</v>
      </c>
      <c r="U3" s="9" t="s">
        <v>28</v>
      </c>
      <c r="V3" s="9" t="s">
        <v>29</v>
      </c>
      <c r="W3" s="9" t="s">
        <v>30</v>
      </c>
      <c r="X3" s="9" t="s">
        <v>31</v>
      </c>
      <c r="Y3" s="8" t="s">
        <v>32</v>
      </c>
      <c r="Z3" s="8" t="s">
        <v>33</v>
      </c>
      <c r="AA3" s="8" t="s">
        <v>34</v>
      </c>
      <c r="AC3" s="0" t="s">
        <v>35</v>
      </c>
      <c r="AD3" s="0" t="s">
        <v>36</v>
      </c>
      <c r="AE3" s="0" t="s">
        <v>37</v>
      </c>
      <c r="AF3" s="0" t="s">
        <v>38</v>
      </c>
      <c r="AG3" s="0" t="s">
        <v>39</v>
      </c>
      <c r="AH3" s="0" t="s">
        <v>40</v>
      </c>
      <c r="AI3" s="0" t="s">
        <v>41</v>
      </c>
      <c r="AK3" s="0" t="s">
        <v>42</v>
      </c>
      <c r="AL3" s="0" t="s">
        <v>43</v>
      </c>
      <c r="AM3" s="0" t="s">
        <v>44</v>
      </c>
      <c r="AN3" s="0" t="s">
        <v>45</v>
      </c>
      <c r="AO3" s="0" t="s">
        <v>46</v>
      </c>
      <c r="AP3" s="0" t="s">
        <v>47</v>
      </c>
      <c r="AQ3" s="0" t="s">
        <v>48</v>
      </c>
    </row>
    <row r="4" customFormat="false" ht="15" hidden="false" customHeight="false" outlineLevel="0" collapsed="false">
      <c r="A4" s="10" t="n">
        <v>1</v>
      </c>
      <c r="B4" s="11" t="s">
        <v>49</v>
      </c>
      <c r="C4" s="11" t="n">
        <v>4</v>
      </c>
      <c r="D4" s="11" t="s">
        <v>50</v>
      </c>
      <c r="E4" s="11" t="s">
        <v>51</v>
      </c>
      <c r="F4" s="11" t="s">
        <v>52</v>
      </c>
      <c r="G4" s="11" t="s">
        <v>53</v>
      </c>
      <c r="H4" s="11" t="n">
        <v>4</v>
      </c>
      <c r="J4" s="12"/>
      <c r="K4" s="12"/>
      <c r="L4" s="12"/>
      <c r="M4" s="12"/>
      <c r="N4" s="12"/>
      <c r="O4" s="12"/>
      <c r="P4" s="12"/>
      <c r="R4" s="13" t="n">
        <f aca="false">IF(J4="",0,IF(EXACT($AC4,$AK4),1,0))</f>
        <v>0</v>
      </c>
      <c r="S4" s="13" t="n">
        <f aca="false">IF(K4="",0,IF(EXACT($AD4,$AL4),1,0))</f>
        <v>0</v>
      </c>
      <c r="T4" s="13" t="n">
        <f aca="false">IF(L4="",0,IF(EXACT($AE4,$AM4),1,0))</f>
        <v>0</v>
      </c>
      <c r="U4" s="13" t="n">
        <f aca="false">IF(M4="",0,IF(EXACT($AF4,$AN4),1,0))</f>
        <v>0</v>
      </c>
      <c r="V4" s="13" t="n">
        <f aca="false">IF(N4="",0,IF(EXACT($AG4,$AO4),1,0))</f>
        <v>0</v>
      </c>
      <c r="W4" s="13" t="n">
        <f aca="false">IF(O4="",0,IF(EXACT($AH4,$AP4),1,0))</f>
        <v>0</v>
      </c>
      <c r="X4" s="13" t="n">
        <f aca="false">IF(P4="",0,IF(EXACT($AI4,$AQ4),1,0))</f>
        <v>0</v>
      </c>
      <c r="Y4" s="13" t="str">
        <f aca="false">IF(COUNTA(J4:P4)&lt;7,"",SUM(R4:X4))</f>
        <v/>
      </c>
      <c r="Z4" s="14"/>
      <c r="AA4" s="13" t="str">
        <f aca="false">IF(COUNTA(J4:P4)&lt;7,"",IF(Z4="",Y4,Z4))</f>
        <v/>
      </c>
      <c r="AC4" s="0" t="str">
        <f aca="false">IF(IFERROR(SEARCH("bovine",LOWER(B4&amp;"")),0)&gt;0,"bovine",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B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",""),"k1=",""),"k2=",""),"k3=",""),"ka=",""),"kd=",""),"k=",""),"°c",""),"degc",""),"m-1",""),"micromolar",""),"um",""),"(",""),")","")),"cardiac",""),"heart",""),"muscle",""))</f>
        <v>bovine</v>
      </c>
      <c r="AD4" s="0" t="str">
        <f aca="false">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C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",""),"k1=",""),"k2=",""),"k3=",""),"ka=",""),"kd=",""),"k=",""),"°c",""),"degc",""),"m-1",""),"micromolar",""),"um",""),"(",""),")","")),"c","")</f>
        <v>4</v>
      </c>
      <c r="AE4" s="0" t="str">
        <f aca="false">IF(AND(IFERROR(SEARCH("tnc",LOWER(D4&amp;"")),0)&gt;0,IFERROR(SEARCH("tni",LOWER(D4&amp;"")),0)&gt;0),"tnitnc",IF(IFERROR(SEARCH("tnc",LOWER(D4&amp;"")),0)&gt;0,"tnc",IF(IFERROR(SEARCH("tn",LOWER(D4&amp;"")),0)&gt;0,"tn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D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",""),"k1=",""),"k2=",""),"k3=",""),"ka=",""),"kd=",""),"k=",""),"°c",""),"degc",""),"m-1",""),"micromolar",""),"um",""),"(",""),")","")),"-",""),"/",""),"reconstituted",""),"complex",""))))</f>
        <v>tnc</v>
      </c>
      <c r="AF4" s="0" t="str">
        <f aca="false">IF(OR(IFERROR(SEARCH("scintillation",LOWER(E4&amp;"")),0)&gt;0,IFERROR(SEARCH("equilibrium dialysis",LOWER(E4&amp;"")),0)&gt;0),"sc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E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",""),"k1=",""),"k2=",""),"k3=",""),"ka=",""),"kd=",""),"k=",""),"°c",""),"degc",""),"m-1",""),"micromolar",""),"um",""),"(",""),")","")))</f>
        <v>sc</v>
      </c>
      <c r="AG4" s="0" t="str">
        <f aca="false">IF(OR(IFERROR(SEARCH("no added",LOWER(F4&amp;"")),0)&gt;0,IFERROR(SEARCH("not added",LOWER(F4&amp;"")),0)&gt;0,IFERROR(SEARCH("absence",LOWER(F4&amp;"")),0)&gt;0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0.001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-3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-6m"),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",""),"k1=",""),"k2=",""),"k3=",""),"ka=",""),"kd=",""),"k=",""),"°c",""),"degc",""),"m-1",""),"micromolar",""),"um",""),"(",""),")","")),"mgcl2",""),"mg2+",""),"magnesium",""),"mm",""))</f>
        <v>none</v>
      </c>
      <c r="AH4" s="0" t="str">
        <f aca="false">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G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",""),"k1=",""),"k2=",""),"k3=",""),"ka=",""),"kd=",""),"k=",""),"°c",""),"degc",""),"m-1",""),"micromolar",""),"um",""),"(",""),")","")),"e","x10"),"+","")</f>
        <v>2.5x105</v>
      </c>
      <c r="AI4" s="0" t="str">
        <f aca="false">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H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</f>
        <v>4</v>
      </c>
      <c r="AK4" s="0" t="str">
        <f aca="false">IF(IFERROR(SEARCH("bovine",LOWER(J4&amp;"")),0)&gt;0,"bovine",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J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",""),"k1=",""),"k2=",""),"k3=",""),"ka=",""),"kd=",""),"k=",""),"°c",""),"degc",""),"m-1",""),"micromolar",""),"um",""),"(",""),")","")),"cardiac",""),"heart",""),"muscle",""))</f>
        <v/>
      </c>
      <c r="AL4" s="0" t="str">
        <f aca="false">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K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",""),"k1=",""),"k2=",""),"k3=",""),"ka=",""),"kd=",""),"k=",""),"°c",""),"degc",""),"m-1",""),"micromolar",""),"um",""),"(",""),")","")),"c","")</f>
        <v/>
      </c>
      <c r="AM4" s="0" t="str">
        <f aca="false">IF(AND(IFERROR(SEARCH("tnc",LOWER(L4&amp;"")),0)&gt;0,IFERROR(SEARCH("tni",LOWER(L4&amp;"")),0)&gt;0),"tnitnc",IF(IFERROR(SEARCH("tnc",LOWER(L4&amp;"")),0)&gt;0,"tnc",IF(IFERROR(SEARCH("tn",LOWER(L4&amp;"")),0)&gt;0,"tn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L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",""),"k1=",""),"k2=",""),"k3=",""),"ka=",""),"kd=",""),"k=",""),"°c",""),"degc",""),"m-1",""),"micromolar",""),"um",""),"(",""),")","")),"-",""),"/",""),"reconstituted",""),"complex",""))))</f>
        <v/>
      </c>
      <c r="AN4" s="0" t="str">
        <f aca="false">IF(OR(IFERROR(SEARCH("scintillation",LOWER(M4&amp;"")),0)&gt;0,IFERROR(SEARCH("equilibrium dialysis",LOWER(M4&amp;"")),0)&gt;0),"sc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M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",""),"k1=",""),"k2=",""),"k3=",""),"ka=",""),"kd=",""),"k=",""),"°c",""),"degc",""),"m-1",""),"micromolar",""),"um",""),"(",""),")","")))</f>
        <v/>
      </c>
      <c r="AO4" s="0" t="str">
        <f aca="false">IF(OR(IFERROR(SEARCH("no added",LOWER(N4&amp;"")),0)&gt;0,IFERROR(SEARCH("not added",LOWER(N4&amp;"")),0)&gt;0,IFERROR(SEARCH("absence",LOWER(N4&amp;"")),0)&gt;0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0.001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-3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-6m"),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",""),"k1=",""),"k2=",""),"k3=",""),"ka=",""),"kd=",""),"k=",""),"°c",""),"degc",""),"m-1",""),"micromolar",""),"um",""),"(",""),")","")),"mgcl2",""),"mg2+",""),"magnesium",""),"mm",""))</f>
        <v/>
      </c>
      <c r="AP4" s="0" t="str">
        <f aca="false">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O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",""),"k1=",""),"k2=",""),"k3=",""),"ka=",""),"kd=",""),"k=",""),"°c",""),"degc",""),"m-1",""),"micromolar",""),"um",""),"(",""),")","")),"e","x10"),"+","")</f>
        <v/>
      </c>
      <c r="AQ4" s="0" t="str">
        <f aca="false">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P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</f>
        <v/>
      </c>
    </row>
    <row r="5" customFormat="false" ht="15" hidden="false" customHeight="false" outlineLevel="0" collapsed="false">
      <c r="A5" s="10" t="n">
        <v>2</v>
      </c>
      <c r="B5" s="11" t="s">
        <v>49</v>
      </c>
      <c r="C5" s="11" t="n">
        <v>4</v>
      </c>
      <c r="D5" s="11" t="s">
        <v>50</v>
      </c>
      <c r="E5" s="11" t="s">
        <v>51</v>
      </c>
      <c r="F5" s="11" t="n">
        <v>4</v>
      </c>
      <c r="G5" s="11" t="s">
        <v>53</v>
      </c>
      <c r="H5" s="11" t="n">
        <v>4</v>
      </c>
      <c r="J5" s="12"/>
      <c r="K5" s="12"/>
      <c r="L5" s="12"/>
      <c r="M5" s="12"/>
      <c r="N5" s="12"/>
      <c r="O5" s="12"/>
      <c r="P5" s="12"/>
      <c r="R5" s="13" t="n">
        <f aca="false">IF(J5="",0,IF(EXACT($AC5,$AK5),1,0))</f>
        <v>0</v>
      </c>
      <c r="S5" s="13" t="n">
        <f aca="false">IF(K5="",0,IF(EXACT($AD5,$AL5),1,0))</f>
        <v>0</v>
      </c>
      <c r="T5" s="13" t="n">
        <f aca="false">IF(L5="",0,IF(EXACT($AE5,$AM5),1,0))</f>
        <v>0</v>
      </c>
      <c r="U5" s="13" t="n">
        <f aca="false">IF(M5="",0,IF(EXACT($AF5,$AN5),1,0))</f>
        <v>0</v>
      </c>
      <c r="V5" s="13" t="n">
        <f aca="false">IF(N5="",0,IF(EXACT($AG5,$AO5),1,0))</f>
        <v>0</v>
      </c>
      <c r="W5" s="13" t="n">
        <f aca="false">IF(O5="",0,IF(EXACT($AH5,$AP5),1,0))</f>
        <v>0</v>
      </c>
      <c r="X5" s="13" t="n">
        <f aca="false">IF(P5="",0,IF(EXACT($AI5,$AQ5),1,0))</f>
        <v>0</v>
      </c>
      <c r="Y5" s="13" t="str">
        <f aca="false">IF(COUNTA(J5:P5)&lt;7,"",SUM(R5:X5))</f>
        <v/>
      </c>
      <c r="Z5" s="14"/>
      <c r="AA5" s="13" t="str">
        <f aca="false">IF(COUNTA(J5:P5)&lt;7,"",IF(Z5="",Y5,Z5))</f>
        <v/>
      </c>
      <c r="AC5" s="0" t="str">
        <f aca="false">IF(IFERROR(SEARCH("bovine",LOWER(B5&amp;"")),0)&gt;0,"bovine",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B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",""),"k1=",""),"k2=",""),"k3=",""),"ka=",""),"kd=",""),"k=",""),"°c",""),"degc",""),"m-1",""),"micromolar",""),"um",""),"(",""),")","")),"cardiac",""),"heart",""),"muscle",""))</f>
        <v>bovine</v>
      </c>
      <c r="AD5" s="0" t="str">
        <f aca="false">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C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",""),"k1=",""),"k2=",""),"k3=",""),"ka=",""),"kd=",""),"k=",""),"°c",""),"degc",""),"m-1",""),"micromolar",""),"um",""),"(",""),")","")),"c","")</f>
        <v>4</v>
      </c>
      <c r="AE5" s="0" t="str">
        <f aca="false">IF(AND(IFERROR(SEARCH("tnc",LOWER(D5&amp;"")),0)&gt;0,IFERROR(SEARCH("tni",LOWER(D5&amp;"")),0)&gt;0),"tnitnc",IF(IFERROR(SEARCH("tnc",LOWER(D5&amp;"")),0)&gt;0,"tnc",IF(IFERROR(SEARCH("tn",LOWER(D5&amp;"")),0)&gt;0,"tn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D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",""),"k1=",""),"k2=",""),"k3=",""),"ka=",""),"kd=",""),"k=",""),"°c",""),"degc",""),"m-1",""),"micromolar",""),"um",""),"(",""),")","")),"-",""),"/",""),"reconstituted",""),"complex",""))))</f>
        <v>tnc</v>
      </c>
      <c r="AF5" s="0" t="str">
        <f aca="false">IF(OR(IFERROR(SEARCH("scintillation",LOWER(E5&amp;"")),0)&gt;0,IFERROR(SEARCH("equilibrium dialysis",LOWER(E5&amp;"")),0)&gt;0),"sc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E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",""),"k1=",""),"k2=",""),"k3=",""),"ka=",""),"kd=",""),"k=",""),"°c",""),"degc",""),"m-1",""),"micromolar",""),"um",""),"(",""),")","")))</f>
        <v>sc</v>
      </c>
      <c r="AG5" s="0" t="str">
        <f aca="false">IF(OR(IFERROR(SEARCH("no added",LOWER(F5&amp;"")),0)&gt;0,IFERROR(SEARCH("not added",LOWER(F5&amp;"")),0)&gt;0,IFERROR(SEARCH("absence",LOWER(F5&amp;"")),0)&gt;0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0.001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-3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-6m"),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",""),"k1=",""),"k2=",""),"k3=",""),"ka=",""),"kd=",""),"k=",""),"°c",""),"degc",""),"m-1",""),"micromolar",""),"um",""),"(",""),")","")),"mgcl2",""),"mg2+",""),"magnesium",""),"mm",""))</f>
        <v>4</v>
      </c>
      <c r="AH5" s="0" t="str">
        <f aca="false">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G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",""),"k1=",""),"k2=",""),"k3=",""),"ka=",""),"kd=",""),"k=",""),"°c",""),"degc",""),"m-1",""),"micromolar",""),"um",""),"(",""),")","")),"e","x10"),"+","")</f>
        <v>2.5x105</v>
      </c>
      <c r="AI5" s="0" t="str">
        <f aca="false">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H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</f>
        <v>4</v>
      </c>
      <c r="AK5" s="0" t="str">
        <f aca="false">IF(IFERROR(SEARCH("bovine",LOWER(J5&amp;"")),0)&gt;0,"bovine",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J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",""),"k1=",""),"k2=",""),"k3=",""),"ka=",""),"kd=",""),"k=",""),"°c",""),"degc",""),"m-1",""),"micromolar",""),"um",""),"(",""),")","")),"cardiac",""),"heart",""),"muscle",""))</f>
        <v/>
      </c>
      <c r="AL5" s="0" t="str">
        <f aca="false">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K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",""),"k1=",""),"k2=",""),"k3=",""),"ka=",""),"kd=",""),"k=",""),"°c",""),"degc",""),"m-1",""),"micromolar",""),"um",""),"(",""),")","")),"c","")</f>
        <v/>
      </c>
      <c r="AM5" s="0" t="str">
        <f aca="false">IF(AND(IFERROR(SEARCH("tnc",LOWER(L5&amp;"")),0)&gt;0,IFERROR(SEARCH("tni",LOWER(L5&amp;"")),0)&gt;0),"tnitnc",IF(IFERROR(SEARCH("tnc",LOWER(L5&amp;"")),0)&gt;0,"tnc",IF(IFERROR(SEARCH("tn",LOWER(L5&amp;"")),0)&gt;0,"tn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L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",""),"k1=",""),"k2=",""),"k3=",""),"ka=",""),"kd=",""),"k=",""),"°c",""),"degc",""),"m-1",""),"micromolar",""),"um",""),"(",""),")","")),"-",""),"/",""),"reconstituted",""),"complex",""))))</f>
        <v/>
      </c>
      <c r="AN5" s="0" t="str">
        <f aca="false">IF(OR(IFERROR(SEARCH("scintillation",LOWER(M5&amp;"")),0)&gt;0,IFERROR(SEARCH("equilibrium dialysis",LOWER(M5&amp;"")),0)&gt;0),"sc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M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",""),"k1=",""),"k2=",""),"k3=",""),"ka=",""),"kd=",""),"k=",""),"°c",""),"degc",""),"m-1",""),"micromolar",""),"um",""),"(",""),")","")))</f>
        <v/>
      </c>
      <c r="AO5" s="0" t="str">
        <f aca="false">IF(OR(IFERROR(SEARCH("no added",LOWER(N5&amp;"")),0)&gt;0,IFERROR(SEARCH("not added",LOWER(N5&amp;"")),0)&gt;0,IFERROR(SEARCH("absence",LOWER(N5&amp;"")),0)&gt;0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0.001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-3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-6m"),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",""),"k1=",""),"k2=",""),"k3=",""),"ka=",""),"kd=",""),"k=",""),"°c",""),"degc",""),"m-1",""),"micromolar",""),"um",""),"(",""),")","")),"mgcl2",""),"mg2+",""),"magnesium",""),"mm",""))</f>
        <v/>
      </c>
      <c r="AP5" s="0" t="str">
        <f aca="false">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O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",""),"k1=",""),"k2=",""),"k3=",""),"ka=",""),"kd=",""),"k=",""),"°c",""),"degc",""),"m-1",""),"micromolar",""),"um",""),"(",""),")","")),"e","x10"),"+","")</f>
        <v/>
      </c>
      <c r="AQ5" s="0" t="str">
        <f aca="false">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P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</f>
        <v/>
      </c>
    </row>
    <row r="6" customFormat="false" ht="15" hidden="false" customHeight="false" outlineLevel="0" collapsed="false">
      <c r="A6" s="10" t="n">
        <v>3</v>
      </c>
      <c r="B6" s="11" t="s">
        <v>49</v>
      </c>
      <c r="C6" s="11" t="n">
        <v>4</v>
      </c>
      <c r="D6" s="11" t="s">
        <v>54</v>
      </c>
      <c r="E6" s="11" t="s">
        <v>51</v>
      </c>
      <c r="F6" s="11" t="s">
        <v>52</v>
      </c>
      <c r="G6" s="11" t="s">
        <v>55</v>
      </c>
      <c r="H6" s="11" t="n">
        <v>1</v>
      </c>
      <c r="J6" s="12"/>
      <c r="K6" s="12"/>
      <c r="L6" s="12"/>
      <c r="M6" s="12"/>
      <c r="N6" s="12"/>
      <c r="O6" s="12"/>
      <c r="P6" s="12"/>
      <c r="R6" s="13" t="n">
        <f aca="false">IF(J6="",0,IF(EXACT($AC6,$AK6),1,0))</f>
        <v>0</v>
      </c>
      <c r="S6" s="13" t="n">
        <f aca="false">IF(K6="",0,IF(EXACT($AD6,$AL6),1,0))</f>
        <v>0</v>
      </c>
      <c r="T6" s="13" t="n">
        <f aca="false">IF(L6="",0,IF(EXACT($AE6,$AM6),1,0))</f>
        <v>0</v>
      </c>
      <c r="U6" s="13" t="n">
        <f aca="false">IF(M6="",0,IF(EXACT($AF6,$AN6),1,0))</f>
        <v>0</v>
      </c>
      <c r="V6" s="13" t="n">
        <f aca="false">IF(N6="",0,IF(EXACT($AG6,$AO6),1,0))</f>
        <v>0</v>
      </c>
      <c r="W6" s="13" t="n">
        <f aca="false">IF(O6="",0,IF(EXACT($AH6,$AP6),1,0))</f>
        <v>0</v>
      </c>
      <c r="X6" s="13" t="n">
        <f aca="false">IF(P6="",0,IF(EXACT($AI6,$AQ6),1,0))</f>
        <v>0</v>
      </c>
      <c r="Y6" s="13" t="str">
        <f aca="false">IF(COUNTA(J6:P6)&lt;7,"",SUM(R6:X6))</f>
        <v/>
      </c>
      <c r="Z6" s="14"/>
      <c r="AA6" s="13" t="str">
        <f aca="false">IF(COUNTA(J6:P6)&lt;7,"",IF(Z6="",Y6,Z6))</f>
        <v/>
      </c>
      <c r="AC6" s="0" t="str">
        <f aca="false">IF(IFERROR(SEARCH("bovine",LOWER(B6&amp;"")),0)&gt;0,"bovine",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B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",""),"k1=",""),"k2=",""),"k3=",""),"ka=",""),"kd=",""),"k=",""),"°c",""),"degc",""),"m-1",""),"micromolar",""),"um",""),"(",""),")","")),"cardiac",""),"heart",""),"muscle",""))</f>
        <v>bovine</v>
      </c>
      <c r="AD6" s="0" t="str">
        <f aca="false">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C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",""),"k1=",""),"k2=",""),"k3=",""),"ka=",""),"kd=",""),"k=",""),"°c",""),"degc",""),"m-1",""),"micromolar",""),"um",""),"(",""),")","")),"c","")</f>
        <v>4</v>
      </c>
      <c r="AE6" s="0" t="str">
        <f aca="false">IF(AND(IFERROR(SEARCH("tnc",LOWER(D6&amp;"")),0)&gt;0,IFERROR(SEARCH("tni",LOWER(D6&amp;"")),0)&gt;0),"tnitnc",IF(IFERROR(SEARCH("tnc",LOWER(D6&amp;"")),0)&gt;0,"tnc",IF(IFERROR(SEARCH("tn",LOWER(D6&amp;"")),0)&gt;0,"tn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D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",""),"k1=",""),"k2=",""),"k3=",""),"ka=",""),"kd=",""),"k=",""),"°c",""),"degc",""),"m-1",""),"micromolar",""),"um",""),"(",""),")","")),"-",""),"/",""),"reconstituted",""),"complex",""))))</f>
        <v>tnitnc</v>
      </c>
      <c r="AF6" s="0" t="str">
        <f aca="false">IF(OR(IFERROR(SEARCH("scintillation",LOWER(E6&amp;"")),0)&gt;0,IFERROR(SEARCH("equilibrium dialysis",LOWER(E6&amp;"")),0)&gt;0),"sc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E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",""),"k1=",""),"k2=",""),"k3=",""),"ka=",""),"kd=",""),"k=",""),"°c",""),"degc",""),"m-1",""),"micromolar",""),"um",""),"(",""),")","")))</f>
        <v>sc</v>
      </c>
      <c r="AG6" s="0" t="str">
        <f aca="false">IF(OR(IFERROR(SEARCH("no added",LOWER(F6&amp;"")),0)&gt;0,IFERROR(SEARCH("not added",LOWER(F6&amp;"")),0)&gt;0,IFERROR(SEARCH("absence",LOWER(F6&amp;"")),0)&gt;0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0.001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-3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-6m"),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",""),"k1=",""),"k2=",""),"k3=",""),"ka=",""),"kd=",""),"k=",""),"°c",""),"degc",""),"m-1",""),"micromolar",""),"um",""),"(",""),")","")),"mgcl2",""),"mg2+",""),"magnesium",""),"mm",""))</f>
        <v>none</v>
      </c>
      <c r="AH6" s="0" t="str">
        <f aca="false">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G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",""),"k1=",""),"k2=",""),"k3=",""),"ka=",""),"kd=",""),"k=",""),"°c",""),"degc",""),"m-1",""),"micromolar",""),"um",""),"(",""),")","")),"e","x10"),"+","")</f>
        <v>1x106</v>
      </c>
      <c r="AI6" s="0" t="str">
        <f aca="false">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H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</f>
        <v>1</v>
      </c>
      <c r="AK6" s="0" t="str">
        <f aca="false">IF(IFERROR(SEARCH("bovine",LOWER(J6&amp;"")),0)&gt;0,"bovine",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J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",""),"k1=",""),"k2=",""),"k3=",""),"ka=",""),"kd=",""),"k=",""),"°c",""),"degc",""),"m-1",""),"micromolar",""),"um",""),"(",""),")","")),"cardiac",""),"heart",""),"muscle",""))</f>
        <v/>
      </c>
      <c r="AL6" s="0" t="str">
        <f aca="false">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K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",""),"k1=",""),"k2=",""),"k3=",""),"ka=",""),"kd=",""),"k=",""),"°c",""),"degc",""),"m-1",""),"micromolar",""),"um",""),"(",""),")","")),"c","")</f>
        <v/>
      </c>
      <c r="AM6" s="0" t="str">
        <f aca="false">IF(AND(IFERROR(SEARCH("tnc",LOWER(L6&amp;"")),0)&gt;0,IFERROR(SEARCH("tni",LOWER(L6&amp;"")),0)&gt;0),"tnitnc",IF(IFERROR(SEARCH("tnc",LOWER(L6&amp;"")),0)&gt;0,"tnc",IF(IFERROR(SEARCH("tn",LOWER(L6&amp;"")),0)&gt;0,"tn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L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",""),"k1=",""),"k2=",""),"k3=",""),"ka=",""),"kd=",""),"k=",""),"°c",""),"degc",""),"m-1",""),"micromolar",""),"um",""),"(",""),")","")),"-",""),"/",""),"reconstituted",""),"complex",""))))</f>
        <v/>
      </c>
      <c r="AN6" s="0" t="str">
        <f aca="false">IF(OR(IFERROR(SEARCH("scintillation",LOWER(M6&amp;"")),0)&gt;0,IFERROR(SEARCH("equilibrium dialysis",LOWER(M6&amp;"")),0)&gt;0),"sc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M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",""),"k1=",""),"k2=",""),"k3=",""),"ka=",""),"kd=",""),"k=",""),"°c",""),"degc",""),"m-1",""),"micromolar",""),"um",""),"(",""),")","")))</f>
        <v/>
      </c>
      <c r="AO6" s="0" t="str">
        <f aca="false">IF(OR(IFERROR(SEARCH("no added",LOWER(N6&amp;"")),0)&gt;0,IFERROR(SEARCH("not added",LOWER(N6&amp;"")),0)&gt;0,IFERROR(SEARCH("absence",LOWER(N6&amp;"")),0)&gt;0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0.001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-3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-6m"),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",""),"k1=",""),"k2=",""),"k3=",""),"ka=",""),"kd=",""),"k=",""),"°c",""),"degc",""),"m-1",""),"micromolar",""),"um",""),"(",""),")","")),"mgcl2",""),"mg2+",""),"magnesium",""),"mm",""))</f>
        <v/>
      </c>
      <c r="AP6" s="0" t="str">
        <f aca="false">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O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",""),"k1=",""),"k2=",""),"k3=",""),"ka=",""),"kd=",""),"k=",""),"°c",""),"degc",""),"m-1",""),"micromolar",""),"um",""),"(",""),")","")),"e","x10"),"+","")</f>
        <v/>
      </c>
      <c r="AQ6" s="0" t="str">
        <f aca="false">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P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</f>
        <v/>
      </c>
    </row>
    <row r="7" customFormat="false" ht="15" hidden="false" customHeight="false" outlineLevel="0" collapsed="false">
      <c r="A7" s="10" t="n">
        <v>4</v>
      </c>
      <c r="B7" s="11" t="s">
        <v>49</v>
      </c>
      <c r="C7" s="11" t="n">
        <v>4</v>
      </c>
      <c r="D7" s="11" t="s">
        <v>54</v>
      </c>
      <c r="E7" s="11" t="s">
        <v>51</v>
      </c>
      <c r="F7" s="11" t="n">
        <v>4</v>
      </c>
      <c r="G7" s="11" t="s">
        <v>55</v>
      </c>
      <c r="H7" s="11" t="n">
        <v>1</v>
      </c>
      <c r="J7" s="12"/>
      <c r="K7" s="12"/>
      <c r="L7" s="12"/>
      <c r="M7" s="12"/>
      <c r="N7" s="12"/>
      <c r="O7" s="12"/>
      <c r="P7" s="12"/>
      <c r="R7" s="13" t="n">
        <f aca="false">IF(J7="",0,IF(EXACT($AC7,$AK7),1,0))</f>
        <v>0</v>
      </c>
      <c r="S7" s="13" t="n">
        <f aca="false">IF(K7="",0,IF(EXACT($AD7,$AL7),1,0))</f>
        <v>0</v>
      </c>
      <c r="T7" s="13" t="n">
        <f aca="false">IF(L7="",0,IF(EXACT($AE7,$AM7),1,0))</f>
        <v>0</v>
      </c>
      <c r="U7" s="13" t="n">
        <f aca="false">IF(M7="",0,IF(EXACT($AF7,$AN7),1,0))</f>
        <v>0</v>
      </c>
      <c r="V7" s="13" t="n">
        <f aca="false">IF(N7="",0,IF(EXACT($AG7,$AO7),1,0))</f>
        <v>0</v>
      </c>
      <c r="W7" s="13" t="n">
        <f aca="false">IF(O7="",0,IF(EXACT($AH7,$AP7),1,0))</f>
        <v>0</v>
      </c>
      <c r="X7" s="13" t="n">
        <f aca="false">IF(P7="",0,IF(EXACT($AI7,$AQ7),1,0))</f>
        <v>0</v>
      </c>
      <c r="Y7" s="13" t="str">
        <f aca="false">IF(COUNTA(J7:P7)&lt;7,"",SUM(R7:X7))</f>
        <v/>
      </c>
      <c r="Z7" s="14"/>
      <c r="AA7" s="13" t="str">
        <f aca="false">IF(COUNTA(J7:P7)&lt;7,"",IF(Z7="",Y7,Z7))</f>
        <v/>
      </c>
      <c r="AC7" s="0" t="str">
        <f aca="false">IF(IFERROR(SEARCH("bovine",LOWER(B7&amp;"")),0)&gt;0,"bovine",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B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",""),"k1=",""),"k2=",""),"k3=",""),"ka=",""),"kd=",""),"k=",""),"°c",""),"degc",""),"m-1",""),"micromolar",""),"um",""),"(",""),")","")),"cardiac",""),"heart",""),"muscle",""))</f>
        <v>bovine</v>
      </c>
      <c r="AD7" s="0" t="str">
        <f aca="false">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C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",""),"k1=",""),"k2=",""),"k3=",""),"ka=",""),"kd=",""),"k=",""),"°c",""),"degc",""),"m-1",""),"micromolar",""),"um",""),"(",""),")","")),"c","")</f>
        <v>4</v>
      </c>
      <c r="AE7" s="0" t="str">
        <f aca="false">IF(AND(IFERROR(SEARCH("tnc",LOWER(D7&amp;"")),0)&gt;0,IFERROR(SEARCH("tni",LOWER(D7&amp;"")),0)&gt;0),"tnitnc",IF(IFERROR(SEARCH("tnc",LOWER(D7&amp;"")),0)&gt;0,"tnc",IF(IFERROR(SEARCH("tn",LOWER(D7&amp;"")),0)&gt;0,"tn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D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",""),"k1=",""),"k2=",""),"k3=",""),"ka=",""),"kd=",""),"k=",""),"°c",""),"degc",""),"m-1",""),"micromolar",""),"um",""),"(",""),")","")),"-",""),"/",""),"reconstituted",""),"complex",""))))</f>
        <v>tnitnc</v>
      </c>
      <c r="AF7" s="0" t="str">
        <f aca="false">IF(OR(IFERROR(SEARCH("scintillation",LOWER(E7&amp;"")),0)&gt;0,IFERROR(SEARCH("equilibrium dialysis",LOWER(E7&amp;"")),0)&gt;0),"sc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E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",""),"k1=",""),"k2=",""),"k3=",""),"ka=",""),"kd=",""),"k=",""),"°c",""),"degc",""),"m-1",""),"micromolar",""),"um",""),"(",""),")","")))</f>
        <v>sc</v>
      </c>
      <c r="AG7" s="0" t="str">
        <f aca="false">IF(OR(IFERROR(SEARCH("no added",LOWER(F7&amp;"")),0)&gt;0,IFERROR(SEARCH("not added",LOWER(F7&amp;"")),0)&gt;0,IFERROR(SEARCH("absence",LOWER(F7&amp;"")),0)&gt;0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0.001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-3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-6m"),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",""),"k1=",""),"k2=",""),"k3=",""),"ka=",""),"kd=",""),"k=",""),"°c",""),"degc",""),"m-1",""),"micromolar",""),"um",""),"(",""),")","")),"mgcl2",""),"mg2+",""),"magnesium",""),"mm",""))</f>
        <v>4</v>
      </c>
      <c r="AH7" s="0" t="str">
        <f aca="false">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G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",""),"k1=",""),"k2=",""),"k3=",""),"ka=",""),"kd=",""),"k=",""),"°c",""),"degc",""),"m-1",""),"micromolar",""),"um",""),"(",""),")","")),"e","x10"),"+","")</f>
        <v>1x106</v>
      </c>
      <c r="AI7" s="0" t="str">
        <f aca="false">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H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</f>
        <v>1</v>
      </c>
      <c r="AK7" s="0" t="str">
        <f aca="false">IF(IFERROR(SEARCH("bovine",LOWER(J7&amp;"")),0)&gt;0,"bovine",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J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",""),"k1=",""),"k2=",""),"k3=",""),"ka=",""),"kd=",""),"k=",""),"°c",""),"degc",""),"m-1",""),"micromolar",""),"um",""),"(",""),")","")),"cardiac",""),"heart",""),"muscle",""))</f>
        <v/>
      </c>
      <c r="AL7" s="0" t="str">
        <f aca="false">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K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",""),"k1=",""),"k2=",""),"k3=",""),"ka=",""),"kd=",""),"k=",""),"°c",""),"degc",""),"m-1",""),"micromolar",""),"um",""),"(",""),")","")),"c","")</f>
        <v/>
      </c>
      <c r="AM7" s="0" t="str">
        <f aca="false">IF(AND(IFERROR(SEARCH("tnc",LOWER(L7&amp;"")),0)&gt;0,IFERROR(SEARCH("tni",LOWER(L7&amp;"")),0)&gt;0),"tnitnc",IF(IFERROR(SEARCH("tnc",LOWER(L7&amp;"")),0)&gt;0,"tnc",IF(IFERROR(SEARCH("tn",LOWER(L7&amp;"")),0)&gt;0,"tn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L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",""),"k1=",""),"k2=",""),"k3=",""),"ka=",""),"kd=",""),"k=",""),"°c",""),"degc",""),"m-1",""),"micromolar",""),"um",""),"(",""),")","")),"-",""),"/",""),"reconstituted",""),"complex",""))))</f>
        <v/>
      </c>
      <c r="AN7" s="0" t="str">
        <f aca="false">IF(OR(IFERROR(SEARCH("scintillation",LOWER(M7&amp;"")),0)&gt;0,IFERROR(SEARCH("equilibrium dialysis",LOWER(M7&amp;"")),0)&gt;0),"sc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M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",""),"k1=",""),"k2=",""),"k3=",""),"ka=",""),"kd=",""),"k=",""),"°c",""),"degc",""),"m-1",""),"micromolar",""),"um",""),"(",""),")","")))</f>
        <v/>
      </c>
      <c r="AO7" s="0" t="str">
        <f aca="false">IF(OR(IFERROR(SEARCH("no added",LOWER(N7&amp;"")),0)&gt;0,IFERROR(SEARCH("not added",LOWER(N7&amp;"")),0)&gt;0,IFERROR(SEARCH("absence",LOWER(N7&amp;"")),0)&gt;0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0.001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-3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-6m"),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",""),"k1=",""),"k2=",""),"k3=",""),"ka=",""),"kd=",""),"k=",""),"°c",""),"degc",""),"m-1",""),"micromolar",""),"um",""),"(",""),")","")),"mgcl2",""),"mg2+",""),"magnesium",""),"mm",""))</f>
        <v/>
      </c>
      <c r="AP7" s="0" t="str">
        <f aca="false">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O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",""),"k1=",""),"k2=",""),"k3=",""),"ka=",""),"kd=",""),"k=",""),"°c",""),"degc",""),"m-1",""),"micromolar",""),"um",""),"(",""),")","")),"e","x10"),"+","")</f>
        <v/>
      </c>
      <c r="AQ7" s="0" t="str">
        <f aca="false">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P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</f>
        <v/>
      </c>
    </row>
    <row r="8" customFormat="false" ht="15" hidden="false" customHeight="false" outlineLevel="0" collapsed="false">
      <c r="A8" s="10" t="n">
        <v>5</v>
      </c>
      <c r="B8" s="11" t="s">
        <v>49</v>
      </c>
      <c r="C8" s="11" t="n">
        <v>4</v>
      </c>
      <c r="D8" s="11" t="s">
        <v>56</v>
      </c>
      <c r="E8" s="11" t="s">
        <v>51</v>
      </c>
      <c r="F8" s="11" t="s">
        <v>52</v>
      </c>
      <c r="G8" s="11" t="s">
        <v>57</v>
      </c>
      <c r="H8" s="11" t="n">
        <v>0.4</v>
      </c>
      <c r="J8" s="12"/>
      <c r="K8" s="12"/>
      <c r="L8" s="12"/>
      <c r="M8" s="12"/>
      <c r="N8" s="12"/>
      <c r="O8" s="12"/>
      <c r="P8" s="12"/>
      <c r="R8" s="13" t="n">
        <f aca="false">IF(J8="",0,IF(EXACT($AC8,$AK8),1,0))</f>
        <v>0</v>
      </c>
      <c r="S8" s="13" t="n">
        <f aca="false">IF(K8="",0,IF(EXACT($AD8,$AL8),1,0))</f>
        <v>0</v>
      </c>
      <c r="T8" s="13" t="n">
        <f aca="false">IF(L8="",0,IF(EXACT($AE8,$AM8),1,0))</f>
        <v>0</v>
      </c>
      <c r="U8" s="13" t="n">
        <f aca="false">IF(M8="",0,IF(EXACT($AF8,$AN8),1,0))</f>
        <v>0</v>
      </c>
      <c r="V8" s="13" t="n">
        <f aca="false">IF(N8="",0,IF(EXACT($AG8,$AO8),1,0))</f>
        <v>0</v>
      </c>
      <c r="W8" s="13" t="n">
        <f aca="false">IF(O8="",0,IF(EXACT($AH8,$AP8),1,0))</f>
        <v>0</v>
      </c>
      <c r="X8" s="13" t="n">
        <f aca="false">IF(P8="",0,IF(EXACT($AI8,$AQ8),1,0))</f>
        <v>0</v>
      </c>
      <c r="Y8" s="13" t="str">
        <f aca="false">IF(COUNTA(J8:P8)&lt;7,"",SUM(R8:X8))</f>
        <v/>
      </c>
      <c r="Z8" s="14"/>
      <c r="AA8" s="13" t="str">
        <f aca="false">IF(COUNTA(J8:P8)&lt;7,"",IF(Z8="",Y8,Z8))</f>
        <v/>
      </c>
      <c r="AC8" s="0" t="str">
        <f aca="false">IF(IFERROR(SEARCH("bovine",LOWER(B8&amp;"")),0)&gt;0,"bovine",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B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",""),"k1=",""),"k2=",""),"k3=",""),"ka=",""),"kd=",""),"k=",""),"°c",""),"degc",""),"m-1",""),"micromolar",""),"um",""),"(",""),")","")),"cardiac",""),"heart",""),"muscle",""))</f>
        <v>bovine</v>
      </c>
      <c r="AD8" s="0" t="str">
        <f aca="false">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C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",""),"k1=",""),"k2=",""),"k3=",""),"ka=",""),"kd=",""),"k=",""),"°c",""),"degc",""),"m-1",""),"micromolar",""),"um",""),"(",""),")","")),"c","")</f>
        <v>4</v>
      </c>
      <c r="AE8" s="0" t="str">
        <f aca="false">IF(AND(IFERROR(SEARCH("tnc",LOWER(D8&amp;"")),0)&gt;0,IFERROR(SEARCH("tni",LOWER(D8&amp;"")),0)&gt;0),"tnitnc",IF(IFERROR(SEARCH("tnc",LOWER(D8&amp;"")),0)&gt;0,"tnc",IF(IFERROR(SEARCH("tn",LOWER(D8&amp;"")),0)&gt;0,"tn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D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",""),"k1=",""),"k2=",""),"k3=",""),"ka=",""),"kd=",""),"k=",""),"°c",""),"degc",""),"m-1",""),"micromolar",""),"um",""),"(",""),")","")),"-",""),"/",""),"reconstituted",""),"complex",""))))</f>
        <v>tn</v>
      </c>
      <c r="AF8" s="0" t="str">
        <f aca="false">IF(OR(IFERROR(SEARCH("scintillation",LOWER(E8&amp;"")),0)&gt;0,IFERROR(SEARCH("equilibrium dialysis",LOWER(E8&amp;"")),0)&gt;0),"sc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E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",""),"k1=",""),"k2=",""),"k3=",""),"ka=",""),"kd=",""),"k=",""),"°c",""),"degc",""),"m-1",""),"micromolar",""),"um",""),"(",""),")","")))</f>
        <v>sc</v>
      </c>
      <c r="AG8" s="0" t="str">
        <f aca="false">IF(OR(IFERROR(SEARCH("no added",LOWER(F8&amp;"")),0)&gt;0,IFERROR(SEARCH("not added",LOWER(F8&amp;"")),0)&gt;0,IFERROR(SEARCH("absence",LOWER(F8&amp;"")),0)&gt;0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0.001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-3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-6m"),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",""),"k1=",""),"k2=",""),"k3=",""),"ka=",""),"kd=",""),"k=",""),"°c",""),"degc",""),"m-1",""),"micromolar",""),"um",""),"(",""),")","")),"mgcl2",""),"mg2+",""),"magnesium",""),"mm",""))</f>
        <v>none</v>
      </c>
      <c r="AH8" s="0" t="str">
        <f aca="false">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G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",""),"k1=",""),"k2=",""),"k3=",""),"ka=",""),"kd=",""),"k=",""),"°c",""),"degc",""),"m-1",""),"micromolar",""),"um",""),"(",""),")","")),"e","x10"),"+","")</f>
        <v>2.5x106</v>
      </c>
      <c r="AI8" s="0" t="str">
        <f aca="false">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H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</f>
        <v>0.4</v>
      </c>
      <c r="AK8" s="0" t="str">
        <f aca="false">IF(IFERROR(SEARCH("bovine",LOWER(J8&amp;"")),0)&gt;0,"bovine",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J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",""),"k1=",""),"k2=",""),"k3=",""),"ka=",""),"kd=",""),"k=",""),"°c",""),"degc",""),"m-1",""),"micromolar",""),"um",""),"(",""),")","")),"cardiac",""),"heart",""),"muscle",""))</f>
        <v/>
      </c>
      <c r="AL8" s="0" t="str">
        <f aca="false">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K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",""),"k1=",""),"k2=",""),"k3=",""),"ka=",""),"kd=",""),"k=",""),"°c",""),"degc",""),"m-1",""),"micromolar",""),"um",""),"(",""),")","")),"c","")</f>
        <v/>
      </c>
      <c r="AM8" s="0" t="str">
        <f aca="false">IF(AND(IFERROR(SEARCH("tnc",LOWER(L8&amp;"")),0)&gt;0,IFERROR(SEARCH("tni",LOWER(L8&amp;"")),0)&gt;0),"tnitnc",IF(IFERROR(SEARCH("tnc",LOWER(L8&amp;"")),0)&gt;0,"tnc",IF(IFERROR(SEARCH("tn",LOWER(L8&amp;"")),0)&gt;0,"tn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L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",""),"k1=",""),"k2=",""),"k3=",""),"ka=",""),"kd=",""),"k=",""),"°c",""),"degc",""),"m-1",""),"micromolar",""),"um",""),"(",""),")","")),"-",""),"/",""),"reconstituted",""),"complex",""))))</f>
        <v/>
      </c>
      <c r="AN8" s="0" t="str">
        <f aca="false">IF(OR(IFERROR(SEARCH("scintillation",LOWER(M8&amp;"")),0)&gt;0,IFERROR(SEARCH("equilibrium dialysis",LOWER(M8&amp;"")),0)&gt;0),"sc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M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",""),"k1=",""),"k2=",""),"k3=",""),"ka=",""),"kd=",""),"k=",""),"°c",""),"degc",""),"m-1",""),"micromolar",""),"um",""),"(",""),")","")))</f>
        <v/>
      </c>
      <c r="AO8" s="0" t="str">
        <f aca="false">IF(OR(IFERROR(SEARCH("no added",LOWER(N8&amp;"")),0)&gt;0,IFERROR(SEARCH("not added",LOWER(N8&amp;"")),0)&gt;0,IFERROR(SEARCH("absence",LOWER(N8&amp;"")),0)&gt;0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0.001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-3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-6m"),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",""),"k1=",""),"k2=",""),"k3=",""),"ka=",""),"kd=",""),"k=",""),"°c",""),"degc",""),"m-1",""),"micromolar",""),"um",""),"(",""),")","")),"mgcl2",""),"mg2+",""),"magnesium",""),"mm",""))</f>
        <v/>
      </c>
      <c r="AP8" s="0" t="str">
        <f aca="false">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O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",""),"k1=",""),"k2=",""),"k3=",""),"ka=",""),"kd=",""),"k=",""),"°c",""),"degc",""),"m-1",""),"micromolar",""),"um",""),"(",""),")","")),"e","x10"),"+","")</f>
        <v/>
      </c>
      <c r="AQ8" s="0" t="str">
        <f aca="false">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P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</f>
        <v/>
      </c>
    </row>
    <row r="9" customFormat="false" ht="15" hidden="false" customHeight="false" outlineLevel="0" collapsed="false">
      <c r="A9" s="10" t="n">
        <v>6</v>
      </c>
      <c r="B9" s="11" t="s">
        <v>49</v>
      </c>
      <c r="C9" s="11" t="n">
        <v>4</v>
      </c>
      <c r="D9" s="11" t="s">
        <v>56</v>
      </c>
      <c r="E9" s="11" t="s">
        <v>51</v>
      </c>
      <c r="F9" s="11" t="n">
        <v>4</v>
      </c>
      <c r="G9" s="11" t="s">
        <v>57</v>
      </c>
      <c r="H9" s="11" t="n">
        <v>0.4</v>
      </c>
      <c r="J9" s="12"/>
      <c r="K9" s="12"/>
      <c r="L9" s="12"/>
      <c r="M9" s="12"/>
      <c r="N9" s="12"/>
      <c r="O9" s="12"/>
      <c r="P9" s="12"/>
      <c r="R9" s="13" t="n">
        <f aca="false">IF(J9="",0,IF(EXACT($AC9,$AK9),1,0))</f>
        <v>0</v>
      </c>
      <c r="S9" s="13" t="n">
        <f aca="false">IF(K9="",0,IF(EXACT($AD9,$AL9),1,0))</f>
        <v>0</v>
      </c>
      <c r="T9" s="13" t="n">
        <f aca="false">IF(L9="",0,IF(EXACT($AE9,$AM9),1,0))</f>
        <v>0</v>
      </c>
      <c r="U9" s="13" t="n">
        <f aca="false">IF(M9="",0,IF(EXACT($AF9,$AN9),1,0))</f>
        <v>0</v>
      </c>
      <c r="V9" s="13" t="n">
        <f aca="false">IF(N9="",0,IF(EXACT($AG9,$AO9),1,0))</f>
        <v>0</v>
      </c>
      <c r="W9" s="13" t="n">
        <f aca="false">IF(O9="",0,IF(EXACT($AH9,$AP9),1,0))</f>
        <v>0</v>
      </c>
      <c r="X9" s="13" t="n">
        <f aca="false">IF(P9="",0,IF(EXACT($AI9,$AQ9),1,0))</f>
        <v>0</v>
      </c>
      <c r="Y9" s="13" t="str">
        <f aca="false">IF(COUNTA(J9:P9)&lt;7,"",SUM(R9:X9))</f>
        <v/>
      </c>
      <c r="Z9" s="14"/>
      <c r="AA9" s="13" t="str">
        <f aca="false">IF(COUNTA(J9:P9)&lt;7,"",IF(Z9="",Y9,Z9))</f>
        <v/>
      </c>
      <c r="AC9" s="0" t="str">
        <f aca="false">IF(IFERROR(SEARCH("bovine",LOWER(B9&amp;"")),0)&gt;0,"bovine",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B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",""),"k1=",""),"k2=",""),"k3=",""),"ka=",""),"kd=",""),"k=",""),"°c",""),"degc",""),"m-1",""),"micromolar",""),"um",""),"(",""),")","")),"cardiac",""),"heart",""),"muscle",""))</f>
        <v>bovine</v>
      </c>
      <c r="AD9" s="0" t="str">
        <f aca="false">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C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",""),"k1=",""),"k2=",""),"k3=",""),"ka=",""),"kd=",""),"k=",""),"°c",""),"degc",""),"m-1",""),"micromolar",""),"um",""),"(",""),")","")),"c","")</f>
        <v>4</v>
      </c>
      <c r="AE9" s="0" t="str">
        <f aca="false">IF(AND(IFERROR(SEARCH("tnc",LOWER(D9&amp;"")),0)&gt;0,IFERROR(SEARCH("tni",LOWER(D9&amp;"")),0)&gt;0),"tnitnc",IF(IFERROR(SEARCH("tnc",LOWER(D9&amp;"")),0)&gt;0,"tnc",IF(IFERROR(SEARCH("tn",LOWER(D9&amp;"")),0)&gt;0,"tn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D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",""),"k1=",""),"k2=",""),"k3=",""),"ka=",""),"kd=",""),"k=",""),"°c",""),"degc",""),"m-1",""),"micromolar",""),"um",""),"(",""),")","")),"-",""),"/",""),"reconstituted",""),"complex",""))))</f>
        <v>tn</v>
      </c>
      <c r="AF9" s="0" t="str">
        <f aca="false">IF(OR(IFERROR(SEARCH("scintillation",LOWER(E9&amp;"")),0)&gt;0,IFERROR(SEARCH("equilibrium dialysis",LOWER(E9&amp;"")),0)&gt;0),"sc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E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",""),"k1=",""),"k2=",""),"k3=",""),"ka=",""),"kd=",""),"k=",""),"°c",""),"degc",""),"m-1",""),"micromolar",""),"um",""),"(",""),")","")))</f>
        <v>sc</v>
      </c>
      <c r="AG9" s="0" t="str">
        <f aca="false">IF(OR(IFERROR(SEARCH("no added",LOWER(F9&amp;"")),0)&gt;0,IFERROR(SEARCH("not added",LOWER(F9&amp;"")),0)&gt;0,IFERROR(SEARCH("absence",LOWER(F9&amp;"")),0)&gt;0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0.001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-3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-6m"),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",""),"k1=",""),"k2=",""),"k3=",""),"ka=",""),"kd=",""),"k=",""),"°c",""),"degc",""),"m-1",""),"micromolar",""),"um",""),"(",""),")","")),"mgcl2",""),"mg2+",""),"magnesium",""),"mm",""))</f>
        <v>4</v>
      </c>
      <c r="AH9" s="0" t="str">
        <f aca="false">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G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",""),"k1=",""),"k2=",""),"k3=",""),"ka=",""),"kd=",""),"k=",""),"°c",""),"degc",""),"m-1",""),"micromolar",""),"um",""),"(",""),")","")),"e","x10"),"+","")</f>
        <v>2.5x106</v>
      </c>
      <c r="AI9" s="0" t="str">
        <f aca="false">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H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</f>
        <v>0.4</v>
      </c>
      <c r="AK9" s="0" t="str">
        <f aca="false">IF(IFERROR(SEARCH("bovine",LOWER(J9&amp;"")),0)&gt;0,"bovine",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J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",""),"k1=",""),"k2=",""),"k3=",""),"ka=",""),"kd=",""),"k=",""),"°c",""),"degc",""),"m-1",""),"micromolar",""),"um",""),"(",""),")","")),"cardiac",""),"heart",""),"muscle",""))</f>
        <v/>
      </c>
      <c r="AL9" s="0" t="str">
        <f aca="false">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K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",""),"k1=",""),"k2=",""),"k3=",""),"ka=",""),"kd=",""),"k=",""),"°c",""),"degc",""),"m-1",""),"micromolar",""),"um",""),"(",""),")","")),"c","")</f>
        <v/>
      </c>
      <c r="AM9" s="0" t="str">
        <f aca="false">IF(AND(IFERROR(SEARCH("tnc",LOWER(L9&amp;"")),0)&gt;0,IFERROR(SEARCH("tni",LOWER(L9&amp;"")),0)&gt;0),"tnitnc",IF(IFERROR(SEARCH("tnc",LOWER(L9&amp;"")),0)&gt;0,"tnc",IF(IFERROR(SEARCH("tn",LOWER(L9&amp;"")),0)&gt;0,"tn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L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",""),"k1=",""),"k2=",""),"k3=",""),"ka=",""),"kd=",""),"k=",""),"°c",""),"degc",""),"m-1",""),"micromolar",""),"um",""),"(",""),")","")),"-",""),"/",""),"reconstituted",""),"complex",""))))</f>
        <v/>
      </c>
      <c r="AN9" s="0" t="str">
        <f aca="false">IF(OR(IFERROR(SEARCH("scintillation",LOWER(M9&amp;"")),0)&gt;0,IFERROR(SEARCH("equilibrium dialysis",LOWER(M9&amp;"")),0)&gt;0),"sc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M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",""),"k1=",""),"k2=",""),"k3=",""),"ka=",""),"kd=",""),"k=",""),"°c",""),"degc",""),"m-1",""),"micromolar",""),"um",""),"(",""),")","")))</f>
        <v/>
      </c>
      <c r="AO9" s="0" t="str">
        <f aca="false">IF(OR(IFERROR(SEARCH("no added",LOWER(N9&amp;"")),0)&gt;0,IFERROR(SEARCH("not added",LOWER(N9&amp;"")),0)&gt;0,IFERROR(SEARCH("absence",LOWER(N9&amp;"")),0)&gt;0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0.001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-3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-6m"),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",""),"k1=",""),"k2=",""),"k3=",""),"ka=",""),"kd=",""),"k=",""),"°c",""),"degc",""),"m-1",""),"micromolar",""),"um",""),"(",""),")","")),"mgcl2",""),"mg2+",""),"magnesium",""),"mm",""))</f>
        <v/>
      </c>
      <c r="AP9" s="0" t="str">
        <f aca="false">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O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",""),"k1=",""),"k2=",""),"k3=",""),"ka=",""),"kd=",""),"k=",""),"°c",""),"degc",""),"m-1",""),"micromolar",""),"um",""),"(",""),")","")),"e","x10"),"+","")</f>
        <v/>
      </c>
      <c r="AQ9" s="0" t="str">
        <f aca="false">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P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</f>
        <v/>
      </c>
    </row>
    <row r="11" customFormat="false" ht="15" hidden="false" customHeight="false" outlineLevel="0" collapsed="false">
      <c r="W11" s="2" t="s">
        <v>58</v>
      </c>
      <c r="Y11" s="15" t="str">
        <f aca="false">IF(COUNTBLANK(J4:P9)&gt;0,"",SUM(AA4:AA9))</f>
        <v/>
      </c>
      <c r="Z11" s="3" t="s">
        <v>59</v>
      </c>
      <c r="AA11" s="16" t="str">
        <f aca="false">IF(Y11="","",Y11/42)</f>
        <v/>
      </c>
    </row>
    <row r="12" customFormat="false" ht="15" hidden="false" customHeight="false" outlineLevel="0" collapsed="false">
      <c r="W12" s="3" t="s">
        <v>60</v>
      </c>
    </row>
    <row r="14" customFormat="false" ht="15" hidden="false" customHeight="false" outlineLevel="0" collapsed="false">
      <c r="B14" s="3" t="s">
        <v>61</v>
      </c>
      <c r="J14" s="14"/>
    </row>
  </sheetData>
  <mergeCells count="3">
    <mergeCell ref="B2:H2"/>
    <mergeCell ref="J2:P2"/>
    <mergeCell ref="R2:X2"/>
  </mergeCells>
  <dataValidations count="1">
    <dataValidation allowBlank="false" error="Your /7 must be a whole number between 0 and 7." errorStyle="stop" errorTitle="Enter a score from 0 to 7" operator="between" showDropDown="false" showErrorMessage="true" showInputMessage="false" sqref="Z4:Z9" type="whole">
      <formula1>0</formula1>
      <formula2>7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Q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"/>
    <col collapsed="false" customWidth="true" hidden="false" outlineLevel="0" max="8" min="2" style="0" width="13"/>
    <col collapsed="false" customWidth="true" hidden="false" outlineLevel="0" max="9" min="9" style="0" width="2"/>
    <col collapsed="false" customWidth="true" hidden="false" outlineLevel="0" max="16" min="10" style="0" width="15"/>
    <col collapsed="false" customWidth="true" hidden="false" outlineLevel="0" max="17" min="17" style="0" width="2"/>
    <col collapsed="false" customWidth="true" hidden="false" outlineLevel="0" max="24" min="18" style="0" width="6"/>
    <col collapsed="false" customWidth="true" hidden="false" outlineLevel="0" max="25" min="25" style="0" width="8"/>
    <col collapsed="false" customWidth="true" hidden="false" outlineLevel="0" max="26" min="26" style="0" width="14"/>
    <col collapsed="false" customWidth="true" hidden="false" outlineLevel="0" max="27" min="27" style="0" width="9"/>
    <col collapsed="false" customWidth="true" hidden="true" outlineLevel="0" max="35" min="29" style="0" width="13"/>
    <col collapsed="false" customWidth="true" hidden="true" outlineLevel="0" max="43" min="37" style="0" width="13"/>
  </cols>
  <sheetData>
    <row r="1" customFormat="false" ht="17.35" hidden="false" customHeight="false" outlineLevel="0" collapsed="false">
      <c r="A1" s="1" t="s">
        <v>64</v>
      </c>
      <c r="C1" s="3" t="s">
        <v>19</v>
      </c>
    </row>
    <row r="2" customFormat="false" ht="15" hidden="false" customHeight="false" outlineLevel="0" collapsed="false">
      <c r="B2" s="4" t="s">
        <v>20</v>
      </c>
      <c r="C2" s="4"/>
      <c r="D2" s="4"/>
      <c r="E2" s="4"/>
      <c r="F2" s="4"/>
      <c r="G2" s="4"/>
      <c r="H2" s="4"/>
      <c r="J2" s="5" t="s">
        <v>21</v>
      </c>
      <c r="K2" s="5"/>
      <c r="L2" s="5"/>
      <c r="M2" s="5"/>
      <c r="N2" s="5"/>
      <c r="O2" s="5"/>
      <c r="P2" s="5"/>
      <c r="R2" s="6" t="s">
        <v>22</v>
      </c>
      <c r="S2" s="6"/>
      <c r="T2" s="6"/>
      <c r="U2" s="6"/>
      <c r="V2" s="6"/>
      <c r="W2" s="6"/>
      <c r="X2" s="6"/>
      <c r="Y2" s="7" t="s">
        <v>23</v>
      </c>
    </row>
    <row r="3" customFormat="false" ht="30" hidden="false" customHeight="true" outlineLevel="0" collapsed="false">
      <c r="A3" s="8" t="s">
        <v>24</v>
      </c>
      <c r="B3" s="9" t="s">
        <v>25</v>
      </c>
      <c r="C3" s="9" t="s">
        <v>26</v>
      </c>
      <c r="D3" s="9" t="s">
        <v>27</v>
      </c>
      <c r="E3" s="9" t="s">
        <v>28</v>
      </c>
      <c r="F3" s="9" t="s">
        <v>29</v>
      </c>
      <c r="G3" s="9" t="s">
        <v>30</v>
      </c>
      <c r="H3" s="9" t="s">
        <v>31</v>
      </c>
      <c r="J3" s="9" t="s">
        <v>25</v>
      </c>
      <c r="K3" s="9" t="s">
        <v>26</v>
      </c>
      <c r="L3" s="9" t="s">
        <v>27</v>
      </c>
      <c r="M3" s="9" t="s">
        <v>28</v>
      </c>
      <c r="N3" s="9" t="s">
        <v>29</v>
      </c>
      <c r="O3" s="9" t="s">
        <v>30</v>
      </c>
      <c r="P3" s="9" t="s">
        <v>31</v>
      </c>
      <c r="R3" s="9" t="s">
        <v>25</v>
      </c>
      <c r="S3" s="9" t="s">
        <v>26</v>
      </c>
      <c r="T3" s="9" t="s">
        <v>27</v>
      </c>
      <c r="U3" s="9" t="s">
        <v>28</v>
      </c>
      <c r="V3" s="9" t="s">
        <v>29</v>
      </c>
      <c r="W3" s="9" t="s">
        <v>30</v>
      </c>
      <c r="X3" s="9" t="s">
        <v>31</v>
      </c>
      <c r="Y3" s="8" t="s">
        <v>32</v>
      </c>
      <c r="Z3" s="8" t="s">
        <v>33</v>
      </c>
      <c r="AA3" s="8" t="s">
        <v>34</v>
      </c>
      <c r="AC3" s="0" t="s">
        <v>35</v>
      </c>
      <c r="AD3" s="0" t="s">
        <v>36</v>
      </c>
      <c r="AE3" s="0" t="s">
        <v>37</v>
      </c>
      <c r="AF3" s="0" t="s">
        <v>38</v>
      </c>
      <c r="AG3" s="0" t="s">
        <v>39</v>
      </c>
      <c r="AH3" s="0" t="s">
        <v>40</v>
      </c>
      <c r="AI3" s="0" t="s">
        <v>41</v>
      </c>
      <c r="AK3" s="0" t="s">
        <v>42</v>
      </c>
      <c r="AL3" s="0" t="s">
        <v>43</v>
      </c>
      <c r="AM3" s="0" t="s">
        <v>44</v>
      </c>
      <c r="AN3" s="0" t="s">
        <v>45</v>
      </c>
      <c r="AO3" s="0" t="s">
        <v>46</v>
      </c>
      <c r="AP3" s="0" t="s">
        <v>47</v>
      </c>
      <c r="AQ3" s="0" t="s">
        <v>48</v>
      </c>
    </row>
    <row r="4" customFormat="false" ht="15" hidden="false" customHeight="false" outlineLevel="0" collapsed="false">
      <c r="A4" s="10" t="n">
        <v>1</v>
      </c>
      <c r="B4" s="11" t="s">
        <v>49</v>
      </c>
      <c r="C4" s="11" t="n">
        <v>4</v>
      </c>
      <c r="D4" s="11" t="s">
        <v>50</v>
      </c>
      <c r="E4" s="11" t="s">
        <v>51</v>
      </c>
      <c r="F4" s="11" t="s">
        <v>52</v>
      </c>
      <c r="G4" s="11" t="s">
        <v>53</v>
      </c>
      <c r="H4" s="11" t="n">
        <v>4</v>
      </c>
      <c r="J4" s="12"/>
      <c r="K4" s="12"/>
      <c r="L4" s="12"/>
      <c r="M4" s="12"/>
      <c r="N4" s="12"/>
      <c r="O4" s="12"/>
      <c r="P4" s="12"/>
      <c r="R4" s="13" t="n">
        <f aca="false">IF(J4="",0,IF(EXACT($AC4,$AK4),1,0))</f>
        <v>0</v>
      </c>
      <c r="S4" s="13" t="n">
        <f aca="false">IF(K4="",0,IF(EXACT($AD4,$AL4),1,0))</f>
        <v>0</v>
      </c>
      <c r="T4" s="13" t="n">
        <f aca="false">IF(L4="",0,IF(EXACT($AE4,$AM4),1,0))</f>
        <v>0</v>
      </c>
      <c r="U4" s="13" t="n">
        <f aca="false">IF(M4="",0,IF(EXACT($AF4,$AN4),1,0))</f>
        <v>0</v>
      </c>
      <c r="V4" s="13" t="n">
        <f aca="false">IF(N4="",0,IF(EXACT($AG4,$AO4),1,0))</f>
        <v>0</v>
      </c>
      <c r="W4" s="13" t="n">
        <f aca="false">IF(O4="",0,IF(EXACT($AH4,$AP4),1,0))</f>
        <v>0</v>
      </c>
      <c r="X4" s="13" t="n">
        <f aca="false">IF(P4="",0,IF(EXACT($AI4,$AQ4),1,0))</f>
        <v>0</v>
      </c>
      <c r="Y4" s="13" t="str">
        <f aca="false">IF(COUNTA(J4:P4)&lt;7,"",SUM(R4:X4))</f>
        <v/>
      </c>
      <c r="Z4" s="14"/>
      <c r="AA4" s="13" t="str">
        <f aca="false">IF(COUNTA(J4:P4)&lt;7,"",IF(Z4="",Y4,Z4))</f>
        <v/>
      </c>
      <c r="AC4" s="0" t="str">
        <f aca="false">IF(IFERROR(SEARCH("bovine",LOWER(B4&amp;"")),0)&gt;0,"bovine",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B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",""),"k1=",""),"k2=",""),"k3=",""),"ka=",""),"kd=",""),"k=",""),"°c",""),"degc",""),"m-1",""),"micromolar",""),"um",""),"(",""),")","")),"cardiac",""),"heart",""),"muscle",""))</f>
        <v>bovine</v>
      </c>
      <c r="AD4" s="0" t="str">
        <f aca="false">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C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",""),"k1=",""),"k2=",""),"k3=",""),"ka=",""),"kd=",""),"k=",""),"°c",""),"degc",""),"m-1",""),"micromolar",""),"um",""),"(",""),")","")),"c","")</f>
        <v>4</v>
      </c>
      <c r="AE4" s="0" t="str">
        <f aca="false">IF(AND(IFERROR(SEARCH("tnc",LOWER(D4&amp;"")),0)&gt;0,IFERROR(SEARCH("tni",LOWER(D4&amp;"")),0)&gt;0),"tnitnc",IF(IFERROR(SEARCH("tnc",LOWER(D4&amp;"")),0)&gt;0,"tnc",IF(IFERROR(SEARCH("tn",LOWER(D4&amp;"")),0)&gt;0,"tn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D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",""),"k1=",""),"k2=",""),"k3=",""),"ka=",""),"kd=",""),"k=",""),"°c",""),"degc",""),"m-1",""),"micromolar",""),"um",""),"(",""),")","")),"-",""),"/",""),"reconstituted",""),"complex",""))))</f>
        <v>tnc</v>
      </c>
      <c r="AF4" s="0" t="str">
        <f aca="false">IF(OR(IFERROR(SEARCH("scintillation",LOWER(E4&amp;"")),0)&gt;0,IFERROR(SEARCH("equilibrium dialysis",LOWER(E4&amp;"")),0)&gt;0),"sc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E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",""),"k1=",""),"k2=",""),"k3=",""),"ka=",""),"kd=",""),"k=",""),"°c",""),"degc",""),"m-1",""),"micromolar",""),"um",""),"(",""),")","")))</f>
        <v>sc</v>
      </c>
      <c r="AG4" s="0" t="str">
        <f aca="false">IF(OR(IFERROR(SEARCH("no added",LOWER(F4&amp;"")),0)&gt;0,IFERROR(SEARCH("not added",LOWER(F4&amp;"")),0)&gt;0,IFERROR(SEARCH("absence",LOWER(F4&amp;"")),0)&gt;0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0.001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-3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-6m"),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",""),"k1=",""),"k2=",""),"k3=",""),"ka=",""),"kd=",""),"k=",""),"°c",""),"degc",""),"m-1",""),"micromolar",""),"um",""),"(",""),")","")),"mgcl2",""),"mg2+",""),"magnesium",""),"mm",""))</f>
        <v>none</v>
      </c>
      <c r="AH4" s="0" t="str">
        <f aca="false">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G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",""),"k1=",""),"k2=",""),"k3=",""),"ka=",""),"kd=",""),"k=",""),"°c",""),"degc",""),"m-1",""),"micromolar",""),"um",""),"(",""),")","")),"e","x10"),"+","")</f>
        <v>2.5x105</v>
      </c>
      <c r="AI4" s="0" t="str">
        <f aca="false">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H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</f>
        <v>4</v>
      </c>
      <c r="AK4" s="0" t="str">
        <f aca="false">IF(IFERROR(SEARCH("bovine",LOWER(J4&amp;"")),0)&gt;0,"bovine",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J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",""),"k1=",""),"k2=",""),"k3=",""),"ka=",""),"kd=",""),"k=",""),"°c",""),"degc",""),"m-1",""),"micromolar",""),"um",""),"(",""),")","")),"cardiac",""),"heart",""),"muscle",""))</f>
        <v/>
      </c>
      <c r="AL4" s="0" t="str">
        <f aca="false">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K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",""),"k1=",""),"k2=",""),"k3=",""),"ka=",""),"kd=",""),"k=",""),"°c",""),"degc",""),"m-1",""),"micromolar",""),"um",""),"(",""),")","")),"c","")</f>
        <v/>
      </c>
      <c r="AM4" s="0" t="str">
        <f aca="false">IF(AND(IFERROR(SEARCH("tnc",LOWER(L4&amp;"")),0)&gt;0,IFERROR(SEARCH("tni",LOWER(L4&amp;"")),0)&gt;0),"tnitnc",IF(IFERROR(SEARCH("tnc",LOWER(L4&amp;"")),0)&gt;0,"tnc",IF(IFERROR(SEARCH("tn",LOWER(L4&amp;"")),0)&gt;0,"tn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L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",""),"k1=",""),"k2=",""),"k3=",""),"ka=",""),"kd=",""),"k=",""),"°c",""),"degc",""),"m-1",""),"micromolar",""),"um",""),"(",""),")","")),"-",""),"/",""),"reconstituted",""),"complex",""))))</f>
        <v/>
      </c>
      <c r="AN4" s="0" t="str">
        <f aca="false">IF(OR(IFERROR(SEARCH("scintillation",LOWER(M4&amp;"")),0)&gt;0,IFERROR(SEARCH("equilibrium dialysis",LOWER(M4&amp;"")),0)&gt;0),"sc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M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",""),"k1=",""),"k2=",""),"k3=",""),"ka=",""),"kd=",""),"k=",""),"°c",""),"degc",""),"m-1",""),"micromolar",""),"um",""),"(",""),")","")))</f>
        <v/>
      </c>
      <c r="AO4" s="0" t="str">
        <f aca="false">IF(OR(IFERROR(SEARCH("no added",LOWER(N4&amp;"")),0)&gt;0,IFERROR(SEARCH("not added",LOWER(N4&amp;"")),0)&gt;0,IFERROR(SEARCH("absence",LOWER(N4&amp;"")),0)&gt;0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0.001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-3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-6m"),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",""),"k1=",""),"k2=",""),"k3=",""),"ka=",""),"kd=",""),"k=",""),"°c",""),"degc",""),"m-1",""),"micromolar",""),"um",""),"(",""),")","")),"mgcl2",""),"mg2+",""),"magnesium",""),"mm",""))</f>
        <v/>
      </c>
      <c r="AP4" s="0" t="str">
        <f aca="false">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O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",""),"k1=",""),"k2=",""),"k3=",""),"ka=",""),"kd=",""),"k=",""),"°c",""),"degc",""),"m-1",""),"micromolar",""),"um",""),"(",""),")","")),"e","x10"),"+","")</f>
        <v/>
      </c>
      <c r="AQ4" s="0" t="str">
        <f aca="false">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P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</f>
        <v/>
      </c>
    </row>
    <row r="5" customFormat="false" ht="15" hidden="false" customHeight="false" outlineLevel="0" collapsed="false">
      <c r="A5" s="10" t="n">
        <v>2</v>
      </c>
      <c r="B5" s="11" t="s">
        <v>49</v>
      </c>
      <c r="C5" s="11" t="n">
        <v>4</v>
      </c>
      <c r="D5" s="11" t="s">
        <v>50</v>
      </c>
      <c r="E5" s="11" t="s">
        <v>51</v>
      </c>
      <c r="F5" s="11" t="n">
        <v>4</v>
      </c>
      <c r="G5" s="11" t="s">
        <v>53</v>
      </c>
      <c r="H5" s="11" t="n">
        <v>4</v>
      </c>
      <c r="J5" s="12"/>
      <c r="K5" s="12"/>
      <c r="L5" s="12"/>
      <c r="M5" s="12"/>
      <c r="N5" s="12"/>
      <c r="O5" s="12"/>
      <c r="P5" s="12"/>
      <c r="R5" s="13" t="n">
        <f aca="false">IF(J5="",0,IF(EXACT($AC5,$AK5),1,0))</f>
        <v>0</v>
      </c>
      <c r="S5" s="13" t="n">
        <f aca="false">IF(K5="",0,IF(EXACT($AD5,$AL5),1,0))</f>
        <v>0</v>
      </c>
      <c r="T5" s="13" t="n">
        <f aca="false">IF(L5="",0,IF(EXACT($AE5,$AM5),1,0))</f>
        <v>0</v>
      </c>
      <c r="U5" s="13" t="n">
        <f aca="false">IF(M5="",0,IF(EXACT($AF5,$AN5),1,0))</f>
        <v>0</v>
      </c>
      <c r="V5" s="13" t="n">
        <f aca="false">IF(N5="",0,IF(EXACT($AG5,$AO5),1,0))</f>
        <v>0</v>
      </c>
      <c r="W5" s="13" t="n">
        <f aca="false">IF(O5="",0,IF(EXACT($AH5,$AP5),1,0))</f>
        <v>0</v>
      </c>
      <c r="X5" s="13" t="n">
        <f aca="false">IF(P5="",0,IF(EXACT($AI5,$AQ5),1,0))</f>
        <v>0</v>
      </c>
      <c r="Y5" s="13" t="str">
        <f aca="false">IF(COUNTA(J5:P5)&lt;7,"",SUM(R5:X5))</f>
        <v/>
      </c>
      <c r="Z5" s="14"/>
      <c r="AA5" s="13" t="str">
        <f aca="false">IF(COUNTA(J5:P5)&lt;7,"",IF(Z5="",Y5,Z5))</f>
        <v/>
      </c>
      <c r="AC5" s="0" t="str">
        <f aca="false">IF(IFERROR(SEARCH("bovine",LOWER(B5&amp;"")),0)&gt;0,"bovine",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B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",""),"k1=",""),"k2=",""),"k3=",""),"ka=",""),"kd=",""),"k=",""),"°c",""),"degc",""),"m-1",""),"micromolar",""),"um",""),"(",""),")","")),"cardiac",""),"heart",""),"muscle",""))</f>
        <v>bovine</v>
      </c>
      <c r="AD5" s="0" t="str">
        <f aca="false">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C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",""),"k1=",""),"k2=",""),"k3=",""),"ka=",""),"kd=",""),"k=",""),"°c",""),"degc",""),"m-1",""),"micromolar",""),"um",""),"(",""),")","")),"c","")</f>
        <v>4</v>
      </c>
      <c r="AE5" s="0" t="str">
        <f aca="false">IF(AND(IFERROR(SEARCH("tnc",LOWER(D5&amp;"")),0)&gt;0,IFERROR(SEARCH("tni",LOWER(D5&amp;"")),0)&gt;0),"tnitnc",IF(IFERROR(SEARCH("tnc",LOWER(D5&amp;"")),0)&gt;0,"tnc",IF(IFERROR(SEARCH("tn",LOWER(D5&amp;"")),0)&gt;0,"tn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D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",""),"k1=",""),"k2=",""),"k3=",""),"ka=",""),"kd=",""),"k=",""),"°c",""),"degc",""),"m-1",""),"micromolar",""),"um",""),"(",""),")","")),"-",""),"/",""),"reconstituted",""),"complex",""))))</f>
        <v>tnc</v>
      </c>
      <c r="AF5" s="0" t="str">
        <f aca="false">IF(OR(IFERROR(SEARCH("scintillation",LOWER(E5&amp;"")),0)&gt;0,IFERROR(SEARCH("equilibrium dialysis",LOWER(E5&amp;"")),0)&gt;0),"sc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E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",""),"k1=",""),"k2=",""),"k3=",""),"ka=",""),"kd=",""),"k=",""),"°c",""),"degc",""),"m-1",""),"micromolar",""),"um",""),"(",""),")","")))</f>
        <v>sc</v>
      </c>
      <c r="AG5" s="0" t="str">
        <f aca="false">IF(OR(IFERROR(SEARCH("no added",LOWER(F5&amp;"")),0)&gt;0,IFERROR(SEARCH("not added",LOWER(F5&amp;"")),0)&gt;0,IFERROR(SEARCH("absence",LOWER(F5&amp;"")),0)&gt;0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0.001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-3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-6m"),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",""),"k1=",""),"k2=",""),"k3=",""),"ka=",""),"kd=",""),"k=",""),"°c",""),"degc",""),"m-1",""),"micromolar",""),"um",""),"(",""),")","")),"mgcl2",""),"mg2+",""),"magnesium",""),"mm",""))</f>
        <v>4</v>
      </c>
      <c r="AH5" s="0" t="str">
        <f aca="false">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G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",""),"k1=",""),"k2=",""),"k3=",""),"ka=",""),"kd=",""),"k=",""),"°c",""),"degc",""),"m-1",""),"micromolar",""),"um",""),"(",""),")","")),"e","x10"),"+","")</f>
        <v>2.5x105</v>
      </c>
      <c r="AI5" s="0" t="str">
        <f aca="false">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H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</f>
        <v>4</v>
      </c>
      <c r="AK5" s="0" t="str">
        <f aca="false">IF(IFERROR(SEARCH("bovine",LOWER(J5&amp;"")),0)&gt;0,"bovine",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J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",""),"k1=",""),"k2=",""),"k3=",""),"ka=",""),"kd=",""),"k=",""),"°c",""),"degc",""),"m-1",""),"micromolar",""),"um",""),"(",""),")","")),"cardiac",""),"heart",""),"muscle",""))</f>
        <v/>
      </c>
      <c r="AL5" s="0" t="str">
        <f aca="false">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K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",""),"k1=",""),"k2=",""),"k3=",""),"ka=",""),"kd=",""),"k=",""),"°c",""),"degc",""),"m-1",""),"micromolar",""),"um",""),"(",""),")","")),"c","")</f>
        <v/>
      </c>
      <c r="AM5" s="0" t="str">
        <f aca="false">IF(AND(IFERROR(SEARCH("tnc",LOWER(L5&amp;"")),0)&gt;0,IFERROR(SEARCH("tni",LOWER(L5&amp;"")),0)&gt;0),"tnitnc",IF(IFERROR(SEARCH("tnc",LOWER(L5&amp;"")),0)&gt;0,"tnc",IF(IFERROR(SEARCH("tn",LOWER(L5&amp;"")),0)&gt;0,"tn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L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",""),"k1=",""),"k2=",""),"k3=",""),"ka=",""),"kd=",""),"k=",""),"°c",""),"degc",""),"m-1",""),"micromolar",""),"um",""),"(",""),")","")),"-",""),"/",""),"reconstituted",""),"complex",""))))</f>
        <v/>
      </c>
      <c r="AN5" s="0" t="str">
        <f aca="false">IF(OR(IFERROR(SEARCH("scintillation",LOWER(M5&amp;"")),0)&gt;0,IFERROR(SEARCH("equilibrium dialysis",LOWER(M5&amp;"")),0)&gt;0),"sc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M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",""),"k1=",""),"k2=",""),"k3=",""),"ka=",""),"kd=",""),"k=",""),"°c",""),"degc",""),"m-1",""),"micromolar",""),"um",""),"(",""),")","")))</f>
        <v/>
      </c>
      <c r="AO5" s="0" t="str">
        <f aca="false">IF(OR(IFERROR(SEARCH("no added",LOWER(N5&amp;"")),0)&gt;0,IFERROR(SEARCH("not added",LOWER(N5&amp;"")),0)&gt;0,IFERROR(SEARCH("absence",LOWER(N5&amp;"")),0)&gt;0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0.001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-3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-6m"),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",""),"k1=",""),"k2=",""),"k3=",""),"ka=",""),"kd=",""),"k=",""),"°c",""),"degc",""),"m-1",""),"micromolar",""),"um",""),"(",""),")","")),"mgcl2",""),"mg2+",""),"magnesium",""),"mm",""))</f>
        <v/>
      </c>
      <c r="AP5" s="0" t="str">
        <f aca="false">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O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",""),"k1=",""),"k2=",""),"k3=",""),"ka=",""),"kd=",""),"k=",""),"°c",""),"degc",""),"m-1",""),"micromolar",""),"um",""),"(",""),")","")),"e","x10"),"+","")</f>
        <v/>
      </c>
      <c r="AQ5" s="0" t="str">
        <f aca="false">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P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</f>
        <v/>
      </c>
    </row>
    <row r="6" customFormat="false" ht="15" hidden="false" customHeight="false" outlineLevel="0" collapsed="false">
      <c r="A6" s="10" t="n">
        <v>3</v>
      </c>
      <c r="B6" s="11" t="s">
        <v>49</v>
      </c>
      <c r="C6" s="11" t="n">
        <v>4</v>
      </c>
      <c r="D6" s="11" t="s">
        <v>54</v>
      </c>
      <c r="E6" s="11" t="s">
        <v>51</v>
      </c>
      <c r="F6" s="11" t="s">
        <v>52</v>
      </c>
      <c r="G6" s="11" t="s">
        <v>55</v>
      </c>
      <c r="H6" s="11" t="n">
        <v>1</v>
      </c>
      <c r="J6" s="12"/>
      <c r="K6" s="12"/>
      <c r="L6" s="12"/>
      <c r="M6" s="12"/>
      <c r="N6" s="12"/>
      <c r="O6" s="12"/>
      <c r="P6" s="12"/>
      <c r="R6" s="13" t="n">
        <f aca="false">IF(J6="",0,IF(EXACT($AC6,$AK6),1,0))</f>
        <v>0</v>
      </c>
      <c r="S6" s="13" t="n">
        <f aca="false">IF(K6="",0,IF(EXACT($AD6,$AL6),1,0))</f>
        <v>0</v>
      </c>
      <c r="T6" s="13" t="n">
        <f aca="false">IF(L6="",0,IF(EXACT($AE6,$AM6),1,0))</f>
        <v>0</v>
      </c>
      <c r="U6" s="13" t="n">
        <f aca="false">IF(M6="",0,IF(EXACT($AF6,$AN6),1,0))</f>
        <v>0</v>
      </c>
      <c r="V6" s="13" t="n">
        <f aca="false">IF(N6="",0,IF(EXACT($AG6,$AO6),1,0))</f>
        <v>0</v>
      </c>
      <c r="W6" s="13" t="n">
        <f aca="false">IF(O6="",0,IF(EXACT($AH6,$AP6),1,0))</f>
        <v>0</v>
      </c>
      <c r="X6" s="13" t="n">
        <f aca="false">IF(P6="",0,IF(EXACT($AI6,$AQ6),1,0))</f>
        <v>0</v>
      </c>
      <c r="Y6" s="13" t="str">
        <f aca="false">IF(COUNTA(J6:P6)&lt;7,"",SUM(R6:X6))</f>
        <v/>
      </c>
      <c r="Z6" s="14"/>
      <c r="AA6" s="13" t="str">
        <f aca="false">IF(COUNTA(J6:P6)&lt;7,"",IF(Z6="",Y6,Z6))</f>
        <v/>
      </c>
      <c r="AC6" s="0" t="str">
        <f aca="false">IF(IFERROR(SEARCH("bovine",LOWER(B6&amp;"")),0)&gt;0,"bovine",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B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",""),"k1=",""),"k2=",""),"k3=",""),"ka=",""),"kd=",""),"k=",""),"°c",""),"degc",""),"m-1",""),"micromolar",""),"um",""),"(",""),")","")),"cardiac",""),"heart",""),"muscle",""))</f>
        <v>bovine</v>
      </c>
      <c r="AD6" s="0" t="str">
        <f aca="false">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C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",""),"k1=",""),"k2=",""),"k3=",""),"ka=",""),"kd=",""),"k=",""),"°c",""),"degc",""),"m-1",""),"micromolar",""),"um",""),"(",""),")","")),"c","")</f>
        <v>4</v>
      </c>
      <c r="AE6" s="0" t="str">
        <f aca="false">IF(AND(IFERROR(SEARCH("tnc",LOWER(D6&amp;"")),0)&gt;0,IFERROR(SEARCH("tni",LOWER(D6&amp;"")),0)&gt;0),"tnitnc",IF(IFERROR(SEARCH("tnc",LOWER(D6&amp;"")),0)&gt;0,"tnc",IF(IFERROR(SEARCH("tn",LOWER(D6&amp;"")),0)&gt;0,"tn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D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",""),"k1=",""),"k2=",""),"k3=",""),"ka=",""),"kd=",""),"k=",""),"°c",""),"degc",""),"m-1",""),"micromolar",""),"um",""),"(",""),")","")),"-",""),"/",""),"reconstituted",""),"complex",""))))</f>
        <v>tnitnc</v>
      </c>
      <c r="AF6" s="0" t="str">
        <f aca="false">IF(OR(IFERROR(SEARCH("scintillation",LOWER(E6&amp;"")),0)&gt;0,IFERROR(SEARCH("equilibrium dialysis",LOWER(E6&amp;"")),0)&gt;0),"sc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E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",""),"k1=",""),"k2=",""),"k3=",""),"ka=",""),"kd=",""),"k=",""),"°c",""),"degc",""),"m-1",""),"micromolar",""),"um",""),"(",""),")","")))</f>
        <v>sc</v>
      </c>
      <c r="AG6" s="0" t="str">
        <f aca="false">IF(OR(IFERROR(SEARCH("no added",LOWER(F6&amp;"")),0)&gt;0,IFERROR(SEARCH("not added",LOWER(F6&amp;"")),0)&gt;0,IFERROR(SEARCH("absence",LOWER(F6&amp;"")),0)&gt;0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0.001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-3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-6m"),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",""),"k1=",""),"k2=",""),"k3=",""),"ka=",""),"kd=",""),"k=",""),"°c",""),"degc",""),"m-1",""),"micromolar",""),"um",""),"(",""),")","")),"mgcl2",""),"mg2+",""),"magnesium",""),"mm",""))</f>
        <v>none</v>
      </c>
      <c r="AH6" s="0" t="str">
        <f aca="false">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G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",""),"k1=",""),"k2=",""),"k3=",""),"ka=",""),"kd=",""),"k=",""),"°c",""),"degc",""),"m-1",""),"micromolar",""),"um",""),"(",""),")","")),"e","x10"),"+","")</f>
        <v>1x106</v>
      </c>
      <c r="AI6" s="0" t="str">
        <f aca="false">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H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</f>
        <v>1</v>
      </c>
      <c r="AK6" s="0" t="str">
        <f aca="false">IF(IFERROR(SEARCH("bovine",LOWER(J6&amp;"")),0)&gt;0,"bovine",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J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",""),"k1=",""),"k2=",""),"k3=",""),"ka=",""),"kd=",""),"k=",""),"°c",""),"degc",""),"m-1",""),"micromolar",""),"um",""),"(",""),")","")),"cardiac",""),"heart",""),"muscle",""))</f>
        <v/>
      </c>
      <c r="AL6" s="0" t="str">
        <f aca="false">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K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",""),"k1=",""),"k2=",""),"k3=",""),"ka=",""),"kd=",""),"k=",""),"°c",""),"degc",""),"m-1",""),"micromolar",""),"um",""),"(",""),")","")),"c","")</f>
        <v/>
      </c>
      <c r="AM6" s="0" t="str">
        <f aca="false">IF(AND(IFERROR(SEARCH("tnc",LOWER(L6&amp;"")),0)&gt;0,IFERROR(SEARCH("tni",LOWER(L6&amp;"")),0)&gt;0),"tnitnc",IF(IFERROR(SEARCH("tnc",LOWER(L6&amp;"")),0)&gt;0,"tnc",IF(IFERROR(SEARCH("tn",LOWER(L6&amp;"")),0)&gt;0,"tn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L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",""),"k1=",""),"k2=",""),"k3=",""),"ka=",""),"kd=",""),"k=",""),"°c",""),"degc",""),"m-1",""),"micromolar",""),"um",""),"(",""),")","")),"-",""),"/",""),"reconstituted",""),"complex",""))))</f>
        <v/>
      </c>
      <c r="AN6" s="0" t="str">
        <f aca="false">IF(OR(IFERROR(SEARCH("scintillation",LOWER(M6&amp;"")),0)&gt;0,IFERROR(SEARCH("equilibrium dialysis",LOWER(M6&amp;"")),0)&gt;0),"sc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M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",""),"k1=",""),"k2=",""),"k3=",""),"ka=",""),"kd=",""),"k=",""),"°c",""),"degc",""),"m-1",""),"micromolar",""),"um",""),"(",""),")","")))</f>
        <v/>
      </c>
      <c r="AO6" s="0" t="str">
        <f aca="false">IF(OR(IFERROR(SEARCH("no added",LOWER(N6&amp;"")),0)&gt;0,IFERROR(SEARCH("not added",LOWER(N6&amp;"")),0)&gt;0,IFERROR(SEARCH("absence",LOWER(N6&amp;"")),0)&gt;0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0.001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-3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-6m"),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",""),"k1=",""),"k2=",""),"k3=",""),"ka=",""),"kd=",""),"k=",""),"°c",""),"degc",""),"m-1",""),"micromolar",""),"um",""),"(",""),")","")),"mgcl2",""),"mg2+",""),"magnesium",""),"mm",""))</f>
        <v/>
      </c>
      <c r="AP6" s="0" t="str">
        <f aca="false">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O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",""),"k1=",""),"k2=",""),"k3=",""),"ka=",""),"kd=",""),"k=",""),"°c",""),"degc",""),"m-1",""),"micromolar",""),"um",""),"(",""),")","")),"e","x10"),"+","")</f>
        <v/>
      </c>
      <c r="AQ6" s="0" t="str">
        <f aca="false">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P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</f>
        <v/>
      </c>
    </row>
    <row r="7" customFormat="false" ht="15" hidden="false" customHeight="false" outlineLevel="0" collapsed="false">
      <c r="A7" s="10" t="n">
        <v>4</v>
      </c>
      <c r="B7" s="11" t="s">
        <v>49</v>
      </c>
      <c r="C7" s="11" t="n">
        <v>4</v>
      </c>
      <c r="D7" s="11" t="s">
        <v>54</v>
      </c>
      <c r="E7" s="11" t="s">
        <v>51</v>
      </c>
      <c r="F7" s="11" t="n">
        <v>4</v>
      </c>
      <c r="G7" s="11" t="s">
        <v>55</v>
      </c>
      <c r="H7" s="11" t="n">
        <v>1</v>
      </c>
      <c r="J7" s="12"/>
      <c r="K7" s="12"/>
      <c r="L7" s="12"/>
      <c r="M7" s="12"/>
      <c r="N7" s="12"/>
      <c r="O7" s="12"/>
      <c r="P7" s="12"/>
      <c r="R7" s="13" t="n">
        <f aca="false">IF(J7="",0,IF(EXACT($AC7,$AK7),1,0))</f>
        <v>0</v>
      </c>
      <c r="S7" s="13" t="n">
        <f aca="false">IF(K7="",0,IF(EXACT($AD7,$AL7),1,0))</f>
        <v>0</v>
      </c>
      <c r="T7" s="13" t="n">
        <f aca="false">IF(L7="",0,IF(EXACT($AE7,$AM7),1,0))</f>
        <v>0</v>
      </c>
      <c r="U7" s="13" t="n">
        <f aca="false">IF(M7="",0,IF(EXACT($AF7,$AN7),1,0))</f>
        <v>0</v>
      </c>
      <c r="V7" s="13" t="n">
        <f aca="false">IF(N7="",0,IF(EXACT($AG7,$AO7),1,0))</f>
        <v>0</v>
      </c>
      <c r="W7" s="13" t="n">
        <f aca="false">IF(O7="",0,IF(EXACT($AH7,$AP7),1,0))</f>
        <v>0</v>
      </c>
      <c r="X7" s="13" t="n">
        <f aca="false">IF(P7="",0,IF(EXACT($AI7,$AQ7),1,0))</f>
        <v>0</v>
      </c>
      <c r="Y7" s="13" t="str">
        <f aca="false">IF(COUNTA(J7:P7)&lt;7,"",SUM(R7:X7))</f>
        <v/>
      </c>
      <c r="Z7" s="14"/>
      <c r="AA7" s="13" t="str">
        <f aca="false">IF(COUNTA(J7:P7)&lt;7,"",IF(Z7="",Y7,Z7))</f>
        <v/>
      </c>
      <c r="AC7" s="0" t="str">
        <f aca="false">IF(IFERROR(SEARCH("bovine",LOWER(B7&amp;"")),0)&gt;0,"bovine",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B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",""),"k1=",""),"k2=",""),"k3=",""),"ka=",""),"kd=",""),"k=",""),"°c",""),"degc",""),"m-1",""),"micromolar",""),"um",""),"(",""),")","")),"cardiac",""),"heart",""),"muscle",""))</f>
        <v>bovine</v>
      </c>
      <c r="AD7" s="0" t="str">
        <f aca="false">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C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",""),"k1=",""),"k2=",""),"k3=",""),"ka=",""),"kd=",""),"k=",""),"°c",""),"degc",""),"m-1",""),"micromolar",""),"um",""),"(",""),")","")),"c","")</f>
        <v>4</v>
      </c>
      <c r="AE7" s="0" t="str">
        <f aca="false">IF(AND(IFERROR(SEARCH("tnc",LOWER(D7&amp;"")),0)&gt;0,IFERROR(SEARCH("tni",LOWER(D7&amp;"")),0)&gt;0),"tnitnc",IF(IFERROR(SEARCH("tnc",LOWER(D7&amp;"")),0)&gt;0,"tnc",IF(IFERROR(SEARCH("tn",LOWER(D7&amp;"")),0)&gt;0,"tn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D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",""),"k1=",""),"k2=",""),"k3=",""),"ka=",""),"kd=",""),"k=",""),"°c",""),"degc",""),"m-1",""),"micromolar",""),"um",""),"(",""),")","")),"-",""),"/",""),"reconstituted",""),"complex",""))))</f>
        <v>tnitnc</v>
      </c>
      <c r="AF7" s="0" t="str">
        <f aca="false">IF(OR(IFERROR(SEARCH("scintillation",LOWER(E7&amp;"")),0)&gt;0,IFERROR(SEARCH("equilibrium dialysis",LOWER(E7&amp;"")),0)&gt;0),"sc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E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",""),"k1=",""),"k2=",""),"k3=",""),"ka=",""),"kd=",""),"k=",""),"°c",""),"degc",""),"m-1",""),"micromolar",""),"um",""),"(",""),")","")))</f>
        <v>sc</v>
      </c>
      <c r="AG7" s="0" t="str">
        <f aca="false">IF(OR(IFERROR(SEARCH("no added",LOWER(F7&amp;"")),0)&gt;0,IFERROR(SEARCH("not added",LOWER(F7&amp;"")),0)&gt;0,IFERROR(SEARCH("absence",LOWER(F7&amp;"")),0)&gt;0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0.001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-3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-6m"),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",""),"k1=",""),"k2=",""),"k3=",""),"ka=",""),"kd=",""),"k=",""),"°c",""),"degc",""),"m-1",""),"micromolar",""),"um",""),"(",""),")","")),"mgcl2",""),"mg2+",""),"magnesium",""),"mm",""))</f>
        <v>4</v>
      </c>
      <c r="AH7" s="0" t="str">
        <f aca="false">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G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",""),"k1=",""),"k2=",""),"k3=",""),"ka=",""),"kd=",""),"k=",""),"°c",""),"degc",""),"m-1",""),"micromolar",""),"um",""),"(",""),")","")),"e","x10"),"+","")</f>
        <v>1x106</v>
      </c>
      <c r="AI7" s="0" t="str">
        <f aca="false">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H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</f>
        <v>1</v>
      </c>
      <c r="AK7" s="0" t="str">
        <f aca="false">IF(IFERROR(SEARCH("bovine",LOWER(J7&amp;"")),0)&gt;0,"bovine",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J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",""),"k1=",""),"k2=",""),"k3=",""),"ka=",""),"kd=",""),"k=",""),"°c",""),"degc",""),"m-1",""),"micromolar",""),"um",""),"(",""),")","")),"cardiac",""),"heart",""),"muscle",""))</f>
        <v/>
      </c>
      <c r="AL7" s="0" t="str">
        <f aca="false">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K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",""),"k1=",""),"k2=",""),"k3=",""),"ka=",""),"kd=",""),"k=",""),"°c",""),"degc",""),"m-1",""),"micromolar",""),"um",""),"(",""),")","")),"c","")</f>
        <v/>
      </c>
      <c r="AM7" s="0" t="str">
        <f aca="false">IF(AND(IFERROR(SEARCH("tnc",LOWER(L7&amp;"")),0)&gt;0,IFERROR(SEARCH("tni",LOWER(L7&amp;"")),0)&gt;0),"tnitnc",IF(IFERROR(SEARCH("tnc",LOWER(L7&amp;"")),0)&gt;0,"tnc",IF(IFERROR(SEARCH("tn",LOWER(L7&amp;"")),0)&gt;0,"tn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L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",""),"k1=",""),"k2=",""),"k3=",""),"ka=",""),"kd=",""),"k=",""),"°c",""),"degc",""),"m-1",""),"micromolar",""),"um",""),"(",""),")","")),"-",""),"/",""),"reconstituted",""),"complex",""))))</f>
        <v/>
      </c>
      <c r="AN7" s="0" t="str">
        <f aca="false">IF(OR(IFERROR(SEARCH("scintillation",LOWER(M7&amp;"")),0)&gt;0,IFERROR(SEARCH("equilibrium dialysis",LOWER(M7&amp;"")),0)&gt;0),"sc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M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",""),"k1=",""),"k2=",""),"k3=",""),"ka=",""),"kd=",""),"k=",""),"°c",""),"degc",""),"m-1",""),"micromolar",""),"um",""),"(",""),")","")))</f>
        <v/>
      </c>
      <c r="AO7" s="0" t="str">
        <f aca="false">IF(OR(IFERROR(SEARCH("no added",LOWER(N7&amp;"")),0)&gt;0,IFERROR(SEARCH("not added",LOWER(N7&amp;"")),0)&gt;0,IFERROR(SEARCH("absence",LOWER(N7&amp;"")),0)&gt;0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0.001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-3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-6m"),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",""),"k1=",""),"k2=",""),"k3=",""),"ka=",""),"kd=",""),"k=",""),"°c",""),"degc",""),"m-1",""),"micromolar",""),"um",""),"(",""),")","")),"mgcl2",""),"mg2+",""),"magnesium",""),"mm",""))</f>
        <v/>
      </c>
      <c r="AP7" s="0" t="str">
        <f aca="false">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O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",""),"k1=",""),"k2=",""),"k3=",""),"ka=",""),"kd=",""),"k=",""),"°c",""),"degc",""),"m-1",""),"micromolar",""),"um",""),"(",""),")","")),"e","x10"),"+","")</f>
        <v/>
      </c>
      <c r="AQ7" s="0" t="str">
        <f aca="false">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P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</f>
        <v/>
      </c>
    </row>
    <row r="8" customFormat="false" ht="15" hidden="false" customHeight="false" outlineLevel="0" collapsed="false">
      <c r="A8" s="10" t="n">
        <v>5</v>
      </c>
      <c r="B8" s="11" t="s">
        <v>49</v>
      </c>
      <c r="C8" s="11" t="n">
        <v>4</v>
      </c>
      <c r="D8" s="11" t="s">
        <v>56</v>
      </c>
      <c r="E8" s="11" t="s">
        <v>51</v>
      </c>
      <c r="F8" s="11" t="s">
        <v>52</v>
      </c>
      <c r="G8" s="11" t="s">
        <v>57</v>
      </c>
      <c r="H8" s="11" t="n">
        <v>0.4</v>
      </c>
      <c r="J8" s="12"/>
      <c r="K8" s="12"/>
      <c r="L8" s="12"/>
      <c r="M8" s="12"/>
      <c r="N8" s="12"/>
      <c r="O8" s="12"/>
      <c r="P8" s="12"/>
      <c r="R8" s="13" t="n">
        <f aca="false">IF(J8="",0,IF(EXACT($AC8,$AK8),1,0))</f>
        <v>0</v>
      </c>
      <c r="S8" s="13" t="n">
        <f aca="false">IF(K8="",0,IF(EXACT($AD8,$AL8),1,0))</f>
        <v>0</v>
      </c>
      <c r="T8" s="13" t="n">
        <f aca="false">IF(L8="",0,IF(EXACT($AE8,$AM8),1,0))</f>
        <v>0</v>
      </c>
      <c r="U8" s="13" t="n">
        <f aca="false">IF(M8="",0,IF(EXACT($AF8,$AN8),1,0))</f>
        <v>0</v>
      </c>
      <c r="V8" s="13" t="n">
        <f aca="false">IF(N8="",0,IF(EXACT($AG8,$AO8),1,0))</f>
        <v>0</v>
      </c>
      <c r="W8" s="13" t="n">
        <f aca="false">IF(O8="",0,IF(EXACT($AH8,$AP8),1,0))</f>
        <v>0</v>
      </c>
      <c r="X8" s="13" t="n">
        <f aca="false">IF(P8="",0,IF(EXACT($AI8,$AQ8),1,0))</f>
        <v>0</v>
      </c>
      <c r="Y8" s="13" t="str">
        <f aca="false">IF(COUNTA(J8:P8)&lt;7,"",SUM(R8:X8))</f>
        <v/>
      </c>
      <c r="Z8" s="14"/>
      <c r="AA8" s="13" t="str">
        <f aca="false">IF(COUNTA(J8:P8)&lt;7,"",IF(Z8="",Y8,Z8))</f>
        <v/>
      </c>
      <c r="AC8" s="0" t="str">
        <f aca="false">IF(IFERROR(SEARCH("bovine",LOWER(B8&amp;"")),0)&gt;0,"bovine",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B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",""),"k1=",""),"k2=",""),"k3=",""),"ka=",""),"kd=",""),"k=",""),"°c",""),"degc",""),"m-1",""),"micromolar",""),"um",""),"(",""),")","")),"cardiac",""),"heart",""),"muscle",""))</f>
        <v>bovine</v>
      </c>
      <c r="AD8" s="0" t="str">
        <f aca="false">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C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",""),"k1=",""),"k2=",""),"k3=",""),"ka=",""),"kd=",""),"k=",""),"°c",""),"degc",""),"m-1",""),"micromolar",""),"um",""),"(",""),")","")),"c","")</f>
        <v>4</v>
      </c>
      <c r="AE8" s="0" t="str">
        <f aca="false">IF(AND(IFERROR(SEARCH("tnc",LOWER(D8&amp;"")),0)&gt;0,IFERROR(SEARCH("tni",LOWER(D8&amp;"")),0)&gt;0),"tnitnc",IF(IFERROR(SEARCH("tnc",LOWER(D8&amp;"")),0)&gt;0,"tnc",IF(IFERROR(SEARCH("tn",LOWER(D8&amp;"")),0)&gt;0,"tn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D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",""),"k1=",""),"k2=",""),"k3=",""),"ka=",""),"kd=",""),"k=",""),"°c",""),"degc",""),"m-1",""),"micromolar",""),"um",""),"(",""),")","")),"-",""),"/",""),"reconstituted",""),"complex",""))))</f>
        <v>tn</v>
      </c>
      <c r="AF8" s="0" t="str">
        <f aca="false">IF(OR(IFERROR(SEARCH("scintillation",LOWER(E8&amp;"")),0)&gt;0,IFERROR(SEARCH("equilibrium dialysis",LOWER(E8&amp;"")),0)&gt;0),"sc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E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",""),"k1=",""),"k2=",""),"k3=",""),"ka=",""),"kd=",""),"k=",""),"°c",""),"degc",""),"m-1",""),"micromolar",""),"um",""),"(",""),")","")))</f>
        <v>sc</v>
      </c>
      <c r="AG8" s="0" t="str">
        <f aca="false">IF(OR(IFERROR(SEARCH("no added",LOWER(F8&amp;"")),0)&gt;0,IFERROR(SEARCH("not added",LOWER(F8&amp;"")),0)&gt;0,IFERROR(SEARCH("absence",LOWER(F8&amp;"")),0)&gt;0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0.001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-3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-6m"),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",""),"k1=",""),"k2=",""),"k3=",""),"ka=",""),"kd=",""),"k=",""),"°c",""),"degc",""),"m-1",""),"micromolar",""),"um",""),"(",""),")","")),"mgcl2",""),"mg2+",""),"magnesium",""),"mm",""))</f>
        <v>none</v>
      </c>
      <c r="AH8" s="0" t="str">
        <f aca="false">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G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",""),"k1=",""),"k2=",""),"k3=",""),"ka=",""),"kd=",""),"k=",""),"°c",""),"degc",""),"m-1",""),"micromolar",""),"um",""),"(",""),")","")),"e","x10"),"+","")</f>
        <v>2.5x106</v>
      </c>
      <c r="AI8" s="0" t="str">
        <f aca="false">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H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</f>
        <v>0.4</v>
      </c>
      <c r="AK8" s="0" t="str">
        <f aca="false">IF(IFERROR(SEARCH("bovine",LOWER(J8&amp;"")),0)&gt;0,"bovine",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J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",""),"k1=",""),"k2=",""),"k3=",""),"ka=",""),"kd=",""),"k=",""),"°c",""),"degc",""),"m-1",""),"micromolar",""),"um",""),"(",""),")","")),"cardiac",""),"heart",""),"muscle",""))</f>
        <v/>
      </c>
      <c r="AL8" s="0" t="str">
        <f aca="false">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K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",""),"k1=",""),"k2=",""),"k3=",""),"ka=",""),"kd=",""),"k=",""),"°c",""),"degc",""),"m-1",""),"micromolar",""),"um",""),"(",""),")","")),"c","")</f>
        <v/>
      </c>
      <c r="AM8" s="0" t="str">
        <f aca="false">IF(AND(IFERROR(SEARCH("tnc",LOWER(L8&amp;"")),0)&gt;0,IFERROR(SEARCH("tni",LOWER(L8&amp;"")),0)&gt;0),"tnitnc",IF(IFERROR(SEARCH("tnc",LOWER(L8&amp;"")),0)&gt;0,"tnc",IF(IFERROR(SEARCH("tn",LOWER(L8&amp;"")),0)&gt;0,"tn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L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",""),"k1=",""),"k2=",""),"k3=",""),"ka=",""),"kd=",""),"k=",""),"°c",""),"degc",""),"m-1",""),"micromolar",""),"um",""),"(",""),")","")),"-",""),"/",""),"reconstituted",""),"complex",""))))</f>
        <v/>
      </c>
      <c r="AN8" s="0" t="str">
        <f aca="false">IF(OR(IFERROR(SEARCH("scintillation",LOWER(M8&amp;"")),0)&gt;0,IFERROR(SEARCH("equilibrium dialysis",LOWER(M8&amp;"")),0)&gt;0),"sc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M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",""),"k1=",""),"k2=",""),"k3=",""),"ka=",""),"kd=",""),"k=",""),"°c",""),"degc",""),"m-1",""),"micromolar",""),"um",""),"(",""),")","")))</f>
        <v/>
      </c>
      <c r="AO8" s="0" t="str">
        <f aca="false">IF(OR(IFERROR(SEARCH("no added",LOWER(N8&amp;"")),0)&gt;0,IFERROR(SEARCH("not added",LOWER(N8&amp;"")),0)&gt;0,IFERROR(SEARCH("absence",LOWER(N8&amp;"")),0)&gt;0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0.001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-3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-6m"),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",""),"k1=",""),"k2=",""),"k3=",""),"ka=",""),"kd=",""),"k=",""),"°c",""),"degc",""),"m-1",""),"micromolar",""),"um",""),"(",""),")","")),"mgcl2",""),"mg2+",""),"magnesium",""),"mm",""))</f>
        <v/>
      </c>
      <c r="AP8" s="0" t="str">
        <f aca="false">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O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",""),"k1=",""),"k2=",""),"k3=",""),"ka=",""),"kd=",""),"k=",""),"°c",""),"degc",""),"m-1",""),"micromolar",""),"um",""),"(",""),")","")),"e","x10"),"+","")</f>
        <v/>
      </c>
      <c r="AQ8" s="0" t="str">
        <f aca="false">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P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</f>
        <v/>
      </c>
    </row>
    <row r="9" customFormat="false" ht="15" hidden="false" customHeight="false" outlineLevel="0" collapsed="false">
      <c r="A9" s="10" t="n">
        <v>6</v>
      </c>
      <c r="B9" s="11" t="s">
        <v>49</v>
      </c>
      <c r="C9" s="11" t="n">
        <v>4</v>
      </c>
      <c r="D9" s="11" t="s">
        <v>56</v>
      </c>
      <c r="E9" s="11" t="s">
        <v>51</v>
      </c>
      <c r="F9" s="11" t="n">
        <v>4</v>
      </c>
      <c r="G9" s="11" t="s">
        <v>57</v>
      </c>
      <c r="H9" s="11" t="n">
        <v>0.4</v>
      </c>
      <c r="J9" s="12"/>
      <c r="K9" s="12"/>
      <c r="L9" s="12"/>
      <c r="M9" s="12"/>
      <c r="N9" s="12"/>
      <c r="O9" s="12"/>
      <c r="P9" s="12"/>
      <c r="R9" s="13" t="n">
        <f aca="false">IF(J9="",0,IF(EXACT($AC9,$AK9),1,0))</f>
        <v>0</v>
      </c>
      <c r="S9" s="13" t="n">
        <f aca="false">IF(K9="",0,IF(EXACT($AD9,$AL9),1,0))</f>
        <v>0</v>
      </c>
      <c r="T9" s="13" t="n">
        <f aca="false">IF(L9="",0,IF(EXACT($AE9,$AM9),1,0))</f>
        <v>0</v>
      </c>
      <c r="U9" s="13" t="n">
        <f aca="false">IF(M9="",0,IF(EXACT($AF9,$AN9),1,0))</f>
        <v>0</v>
      </c>
      <c r="V9" s="13" t="n">
        <f aca="false">IF(N9="",0,IF(EXACT($AG9,$AO9),1,0))</f>
        <v>0</v>
      </c>
      <c r="W9" s="13" t="n">
        <f aca="false">IF(O9="",0,IF(EXACT($AH9,$AP9),1,0))</f>
        <v>0</v>
      </c>
      <c r="X9" s="13" t="n">
        <f aca="false">IF(P9="",0,IF(EXACT($AI9,$AQ9),1,0))</f>
        <v>0</v>
      </c>
      <c r="Y9" s="13" t="str">
        <f aca="false">IF(COUNTA(J9:P9)&lt;7,"",SUM(R9:X9))</f>
        <v/>
      </c>
      <c r="Z9" s="14"/>
      <c r="AA9" s="13" t="str">
        <f aca="false">IF(COUNTA(J9:P9)&lt;7,"",IF(Z9="",Y9,Z9))</f>
        <v/>
      </c>
      <c r="AC9" s="0" t="str">
        <f aca="false">IF(IFERROR(SEARCH("bovine",LOWER(B9&amp;"")),0)&gt;0,"bovine",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B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",""),"k1=",""),"k2=",""),"k3=",""),"ka=",""),"kd=",""),"k=",""),"°c",""),"degc",""),"m-1",""),"micromolar",""),"um",""),"(",""),")","")),"cardiac",""),"heart",""),"muscle",""))</f>
        <v>bovine</v>
      </c>
      <c r="AD9" s="0" t="str">
        <f aca="false">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C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",""),"k1=",""),"k2=",""),"k3=",""),"ka=",""),"kd=",""),"k=",""),"°c",""),"degc",""),"m-1",""),"micromolar",""),"um",""),"(",""),")","")),"c","")</f>
        <v>4</v>
      </c>
      <c r="AE9" s="0" t="str">
        <f aca="false">IF(AND(IFERROR(SEARCH("tnc",LOWER(D9&amp;"")),0)&gt;0,IFERROR(SEARCH("tni",LOWER(D9&amp;"")),0)&gt;0),"tnitnc",IF(IFERROR(SEARCH("tnc",LOWER(D9&amp;"")),0)&gt;0,"tnc",IF(IFERROR(SEARCH("tn",LOWER(D9&amp;"")),0)&gt;0,"tn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D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",""),"k1=",""),"k2=",""),"k3=",""),"ka=",""),"kd=",""),"k=",""),"°c",""),"degc",""),"m-1",""),"micromolar",""),"um",""),"(",""),")","")),"-",""),"/",""),"reconstituted",""),"complex",""))))</f>
        <v>tn</v>
      </c>
      <c r="AF9" s="0" t="str">
        <f aca="false">IF(OR(IFERROR(SEARCH("scintillation",LOWER(E9&amp;"")),0)&gt;0,IFERROR(SEARCH("equilibrium dialysis",LOWER(E9&amp;"")),0)&gt;0),"sc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E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",""),"k1=",""),"k2=",""),"k3=",""),"ka=",""),"kd=",""),"k=",""),"°c",""),"degc",""),"m-1",""),"micromolar",""),"um",""),"(",""),")","")))</f>
        <v>sc</v>
      </c>
      <c r="AG9" s="0" t="str">
        <f aca="false">IF(OR(IFERROR(SEARCH("no added",LOWER(F9&amp;"")),0)&gt;0,IFERROR(SEARCH("not added",LOWER(F9&amp;"")),0)&gt;0,IFERROR(SEARCH("absence",LOWER(F9&amp;"")),0)&gt;0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0.001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-3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-6m"),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",""),"k1=",""),"k2=",""),"k3=",""),"ka=",""),"kd=",""),"k=",""),"°c",""),"degc",""),"m-1",""),"micromolar",""),"um",""),"(",""),")","")),"mgcl2",""),"mg2+",""),"magnesium",""),"mm",""))</f>
        <v>4</v>
      </c>
      <c r="AH9" s="0" t="str">
        <f aca="false">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G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",""),"k1=",""),"k2=",""),"k3=",""),"ka=",""),"kd=",""),"k=",""),"°c",""),"degc",""),"m-1",""),"micromolar",""),"um",""),"(",""),")","")),"e","x10"),"+","")</f>
        <v>2.5x106</v>
      </c>
      <c r="AI9" s="0" t="str">
        <f aca="false">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H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</f>
        <v>0.4</v>
      </c>
      <c r="AK9" s="0" t="str">
        <f aca="false">IF(IFERROR(SEARCH("bovine",LOWER(J9&amp;"")),0)&gt;0,"bovine",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J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",""),"k1=",""),"k2=",""),"k3=",""),"ka=",""),"kd=",""),"k=",""),"°c",""),"degc",""),"m-1",""),"micromolar",""),"um",""),"(",""),")","")),"cardiac",""),"heart",""),"muscle",""))</f>
        <v/>
      </c>
      <c r="AL9" s="0" t="str">
        <f aca="false">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K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",""),"k1=",""),"k2=",""),"k3=",""),"ka=",""),"kd=",""),"k=",""),"°c",""),"degc",""),"m-1",""),"micromolar",""),"um",""),"(",""),")","")),"c","")</f>
        <v/>
      </c>
      <c r="AM9" s="0" t="str">
        <f aca="false">IF(AND(IFERROR(SEARCH("tnc",LOWER(L9&amp;"")),0)&gt;0,IFERROR(SEARCH("tni",LOWER(L9&amp;"")),0)&gt;0),"tnitnc",IF(IFERROR(SEARCH("tnc",LOWER(L9&amp;"")),0)&gt;0,"tnc",IF(IFERROR(SEARCH("tn",LOWER(L9&amp;"")),0)&gt;0,"tn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L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",""),"k1=",""),"k2=",""),"k3=",""),"ka=",""),"kd=",""),"k=",""),"°c",""),"degc",""),"m-1",""),"micromolar",""),"um",""),"(",""),")","")),"-",""),"/",""),"reconstituted",""),"complex",""))))</f>
        <v/>
      </c>
      <c r="AN9" s="0" t="str">
        <f aca="false">IF(OR(IFERROR(SEARCH("scintillation",LOWER(M9&amp;"")),0)&gt;0,IFERROR(SEARCH("equilibrium dialysis",LOWER(M9&amp;"")),0)&gt;0),"sc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M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",""),"k1=",""),"k2=",""),"k3=",""),"ka=",""),"kd=",""),"k=",""),"°c",""),"degc",""),"m-1",""),"micromolar",""),"um",""),"(",""),")","")))</f>
        <v/>
      </c>
      <c r="AO9" s="0" t="str">
        <f aca="false">IF(OR(IFERROR(SEARCH("no added",LOWER(N9&amp;"")),0)&gt;0,IFERROR(SEARCH("not added",LOWER(N9&amp;"")),0)&gt;0,IFERROR(SEARCH("absence",LOWER(N9&amp;"")),0)&gt;0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0.001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-3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-6m"),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",""),"k1=",""),"k2=",""),"k3=",""),"ka=",""),"kd=",""),"k=",""),"°c",""),"degc",""),"m-1",""),"micromolar",""),"um",""),"(",""),")","")),"mgcl2",""),"mg2+",""),"magnesium",""),"mm",""))</f>
        <v/>
      </c>
      <c r="AP9" s="0" t="str">
        <f aca="false">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O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",""),"k1=",""),"k2=",""),"k3=",""),"ka=",""),"kd=",""),"k=",""),"°c",""),"degc",""),"m-1",""),"micromolar",""),"um",""),"(",""),")","")),"e","x10"),"+","")</f>
        <v/>
      </c>
      <c r="AQ9" s="0" t="str">
        <f aca="false">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P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</f>
        <v/>
      </c>
    </row>
    <row r="11" customFormat="false" ht="15" hidden="false" customHeight="false" outlineLevel="0" collapsed="false">
      <c r="W11" s="2" t="s">
        <v>58</v>
      </c>
      <c r="Y11" s="15" t="str">
        <f aca="false">IF(COUNTBLANK(J4:P9)&gt;0,"",SUM(AA4:AA9))</f>
        <v/>
      </c>
      <c r="Z11" s="3" t="s">
        <v>59</v>
      </c>
      <c r="AA11" s="16" t="str">
        <f aca="false">IF(Y11="","",Y11/42)</f>
        <v/>
      </c>
    </row>
    <row r="12" customFormat="false" ht="15" hidden="false" customHeight="false" outlineLevel="0" collapsed="false">
      <c r="W12" s="3" t="s">
        <v>60</v>
      </c>
    </row>
    <row r="14" customFormat="false" ht="15" hidden="false" customHeight="false" outlineLevel="0" collapsed="false">
      <c r="B14" s="3" t="s">
        <v>61</v>
      </c>
      <c r="J14" s="14"/>
    </row>
  </sheetData>
  <mergeCells count="3">
    <mergeCell ref="B2:H2"/>
    <mergeCell ref="J2:P2"/>
    <mergeCell ref="R2:X2"/>
  </mergeCells>
  <dataValidations count="1">
    <dataValidation allowBlank="false" error="Your /7 must be a whole number between 0 and 7." errorStyle="stop" errorTitle="Enter a score from 0 to 7" operator="between" showDropDown="false" showErrorMessage="true" showInputMessage="false" sqref="Z4:Z9" type="whole">
      <formula1>0</formula1>
      <formula2>7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Q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"/>
    <col collapsed="false" customWidth="true" hidden="false" outlineLevel="0" max="8" min="2" style="0" width="13"/>
    <col collapsed="false" customWidth="true" hidden="false" outlineLevel="0" max="9" min="9" style="0" width="2"/>
    <col collapsed="false" customWidth="true" hidden="false" outlineLevel="0" max="16" min="10" style="0" width="15"/>
    <col collapsed="false" customWidth="true" hidden="false" outlineLevel="0" max="17" min="17" style="0" width="2"/>
    <col collapsed="false" customWidth="true" hidden="false" outlineLevel="0" max="24" min="18" style="0" width="6"/>
    <col collapsed="false" customWidth="true" hidden="false" outlineLevel="0" max="25" min="25" style="0" width="8"/>
    <col collapsed="false" customWidth="true" hidden="false" outlineLevel="0" max="26" min="26" style="0" width="14"/>
    <col collapsed="false" customWidth="true" hidden="false" outlineLevel="0" max="27" min="27" style="0" width="9"/>
    <col collapsed="false" customWidth="true" hidden="true" outlineLevel="0" max="35" min="29" style="0" width="13"/>
    <col collapsed="false" customWidth="true" hidden="true" outlineLevel="0" max="43" min="37" style="0" width="13"/>
  </cols>
  <sheetData>
    <row r="1" customFormat="false" ht="17.35" hidden="false" customHeight="false" outlineLevel="0" collapsed="false">
      <c r="A1" s="1" t="s">
        <v>65</v>
      </c>
      <c r="C1" s="3" t="s">
        <v>19</v>
      </c>
    </row>
    <row r="2" customFormat="false" ht="15" hidden="false" customHeight="false" outlineLevel="0" collapsed="false">
      <c r="B2" s="4" t="s">
        <v>20</v>
      </c>
      <c r="C2" s="4"/>
      <c r="D2" s="4"/>
      <c r="E2" s="4"/>
      <c r="F2" s="4"/>
      <c r="G2" s="4"/>
      <c r="H2" s="4"/>
      <c r="J2" s="5" t="s">
        <v>21</v>
      </c>
      <c r="K2" s="5"/>
      <c r="L2" s="5"/>
      <c r="M2" s="5"/>
      <c r="N2" s="5"/>
      <c r="O2" s="5"/>
      <c r="P2" s="5"/>
      <c r="R2" s="6" t="s">
        <v>22</v>
      </c>
      <c r="S2" s="6"/>
      <c r="T2" s="6"/>
      <c r="U2" s="6"/>
      <c r="V2" s="6"/>
      <c r="W2" s="6"/>
      <c r="X2" s="6"/>
      <c r="Y2" s="7" t="s">
        <v>23</v>
      </c>
    </row>
    <row r="3" customFormat="false" ht="30" hidden="false" customHeight="true" outlineLevel="0" collapsed="false">
      <c r="A3" s="8" t="s">
        <v>24</v>
      </c>
      <c r="B3" s="9" t="s">
        <v>25</v>
      </c>
      <c r="C3" s="9" t="s">
        <v>26</v>
      </c>
      <c r="D3" s="9" t="s">
        <v>27</v>
      </c>
      <c r="E3" s="9" t="s">
        <v>28</v>
      </c>
      <c r="F3" s="9" t="s">
        <v>29</v>
      </c>
      <c r="G3" s="9" t="s">
        <v>30</v>
      </c>
      <c r="H3" s="9" t="s">
        <v>31</v>
      </c>
      <c r="J3" s="9" t="s">
        <v>25</v>
      </c>
      <c r="K3" s="9" t="s">
        <v>26</v>
      </c>
      <c r="L3" s="9" t="s">
        <v>27</v>
      </c>
      <c r="M3" s="9" t="s">
        <v>28</v>
      </c>
      <c r="N3" s="9" t="s">
        <v>29</v>
      </c>
      <c r="O3" s="9" t="s">
        <v>30</v>
      </c>
      <c r="P3" s="9" t="s">
        <v>31</v>
      </c>
      <c r="R3" s="9" t="s">
        <v>25</v>
      </c>
      <c r="S3" s="9" t="s">
        <v>26</v>
      </c>
      <c r="T3" s="9" t="s">
        <v>27</v>
      </c>
      <c r="U3" s="9" t="s">
        <v>28</v>
      </c>
      <c r="V3" s="9" t="s">
        <v>29</v>
      </c>
      <c r="W3" s="9" t="s">
        <v>30</v>
      </c>
      <c r="X3" s="9" t="s">
        <v>31</v>
      </c>
      <c r="Y3" s="8" t="s">
        <v>32</v>
      </c>
      <c r="Z3" s="8" t="s">
        <v>33</v>
      </c>
      <c r="AA3" s="8" t="s">
        <v>34</v>
      </c>
      <c r="AC3" s="0" t="s">
        <v>35</v>
      </c>
      <c r="AD3" s="0" t="s">
        <v>36</v>
      </c>
      <c r="AE3" s="0" t="s">
        <v>37</v>
      </c>
      <c r="AF3" s="0" t="s">
        <v>38</v>
      </c>
      <c r="AG3" s="0" t="s">
        <v>39</v>
      </c>
      <c r="AH3" s="0" t="s">
        <v>40</v>
      </c>
      <c r="AI3" s="0" t="s">
        <v>41</v>
      </c>
      <c r="AK3" s="0" t="s">
        <v>42</v>
      </c>
      <c r="AL3" s="0" t="s">
        <v>43</v>
      </c>
      <c r="AM3" s="0" t="s">
        <v>44</v>
      </c>
      <c r="AN3" s="0" t="s">
        <v>45</v>
      </c>
      <c r="AO3" s="0" t="s">
        <v>46</v>
      </c>
      <c r="AP3" s="0" t="s">
        <v>47</v>
      </c>
      <c r="AQ3" s="0" t="s">
        <v>48</v>
      </c>
    </row>
    <row r="4" customFormat="false" ht="15" hidden="false" customHeight="false" outlineLevel="0" collapsed="false">
      <c r="A4" s="10" t="n">
        <v>1</v>
      </c>
      <c r="B4" s="11" t="s">
        <v>49</v>
      </c>
      <c r="C4" s="11" t="n">
        <v>4</v>
      </c>
      <c r="D4" s="11" t="s">
        <v>50</v>
      </c>
      <c r="E4" s="11" t="s">
        <v>51</v>
      </c>
      <c r="F4" s="11" t="s">
        <v>52</v>
      </c>
      <c r="G4" s="11" t="s">
        <v>53</v>
      </c>
      <c r="H4" s="11" t="n">
        <v>4</v>
      </c>
      <c r="J4" s="12"/>
      <c r="K4" s="12"/>
      <c r="L4" s="12"/>
      <c r="M4" s="12"/>
      <c r="N4" s="12"/>
      <c r="O4" s="12"/>
      <c r="P4" s="12"/>
      <c r="R4" s="13" t="n">
        <f aca="false">IF(J4="",0,IF(EXACT($AC4,$AK4),1,0))</f>
        <v>0</v>
      </c>
      <c r="S4" s="13" t="n">
        <f aca="false">IF(K4="",0,IF(EXACT($AD4,$AL4),1,0))</f>
        <v>0</v>
      </c>
      <c r="T4" s="13" t="n">
        <f aca="false">IF(L4="",0,IF(EXACT($AE4,$AM4),1,0))</f>
        <v>0</v>
      </c>
      <c r="U4" s="13" t="n">
        <f aca="false">IF(M4="",0,IF(EXACT($AF4,$AN4),1,0))</f>
        <v>0</v>
      </c>
      <c r="V4" s="13" t="n">
        <f aca="false">IF(N4="",0,IF(EXACT($AG4,$AO4),1,0))</f>
        <v>0</v>
      </c>
      <c r="W4" s="13" t="n">
        <f aca="false">IF(O4="",0,IF(EXACT($AH4,$AP4),1,0))</f>
        <v>0</v>
      </c>
      <c r="X4" s="13" t="n">
        <f aca="false">IF(P4="",0,IF(EXACT($AI4,$AQ4),1,0))</f>
        <v>0</v>
      </c>
      <c r="Y4" s="13" t="str">
        <f aca="false">IF(COUNTA(J4:P4)&lt;7,"",SUM(R4:X4))</f>
        <v/>
      </c>
      <c r="Z4" s="14"/>
      <c r="AA4" s="13" t="str">
        <f aca="false">IF(COUNTA(J4:P4)&lt;7,"",IF(Z4="",Y4,Z4))</f>
        <v/>
      </c>
      <c r="AC4" s="0" t="str">
        <f aca="false">IF(IFERROR(SEARCH("bovine",LOWER(B4&amp;"")),0)&gt;0,"bovine",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B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",""),"k1=",""),"k2=",""),"k3=",""),"ka=",""),"kd=",""),"k=",""),"°c",""),"degc",""),"m-1",""),"micromolar",""),"um",""),"(",""),")","")),"cardiac",""),"heart",""),"muscle",""))</f>
        <v>bovine</v>
      </c>
      <c r="AD4" s="0" t="str">
        <f aca="false">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C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",""),"k1=",""),"k2=",""),"k3=",""),"ka=",""),"kd=",""),"k=",""),"°c",""),"degc",""),"m-1",""),"micromolar",""),"um",""),"(",""),")","")),"c","")</f>
        <v>4</v>
      </c>
      <c r="AE4" s="0" t="str">
        <f aca="false">IF(AND(IFERROR(SEARCH("tnc",LOWER(D4&amp;"")),0)&gt;0,IFERROR(SEARCH("tni",LOWER(D4&amp;"")),0)&gt;0),"tnitnc",IF(IFERROR(SEARCH("tnc",LOWER(D4&amp;"")),0)&gt;0,"tnc",IF(IFERROR(SEARCH("tn",LOWER(D4&amp;"")),0)&gt;0,"tn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D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",""),"k1=",""),"k2=",""),"k3=",""),"ka=",""),"kd=",""),"k=",""),"°c",""),"degc",""),"m-1",""),"micromolar",""),"um",""),"(",""),")","")),"-",""),"/",""),"reconstituted",""),"complex",""))))</f>
        <v>tnc</v>
      </c>
      <c r="AF4" s="0" t="str">
        <f aca="false">IF(OR(IFERROR(SEARCH("scintillation",LOWER(E4&amp;"")),0)&gt;0,IFERROR(SEARCH("equilibrium dialysis",LOWER(E4&amp;"")),0)&gt;0),"sc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E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",""),"k1=",""),"k2=",""),"k3=",""),"ka=",""),"kd=",""),"k=",""),"°c",""),"degc",""),"m-1",""),"micromolar",""),"um",""),"(",""),")","")))</f>
        <v>sc</v>
      </c>
      <c r="AG4" s="0" t="str">
        <f aca="false">IF(OR(IFERROR(SEARCH("no added",LOWER(F4&amp;"")),0)&gt;0,IFERROR(SEARCH("not added",LOWER(F4&amp;"")),0)&gt;0,IFERROR(SEARCH("absence",LOWER(F4&amp;"")),0)&gt;0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0.001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-3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-6m"),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",""),"k1=",""),"k2=",""),"k3=",""),"ka=",""),"kd=",""),"k=",""),"°c",""),"degc",""),"m-1",""),"micromolar",""),"um",""),"(",""),")","")),"mgcl2",""),"mg2+",""),"magnesium",""),"mm",""))</f>
        <v>none</v>
      </c>
      <c r="AH4" s="0" t="str">
        <f aca="false">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G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",""),"k1=",""),"k2=",""),"k3=",""),"ka=",""),"kd=",""),"k=",""),"°c",""),"degc",""),"m-1",""),"micromolar",""),"um",""),"(",""),")","")),"e","x10"),"+","")</f>
        <v>2.5x105</v>
      </c>
      <c r="AI4" s="0" t="str">
        <f aca="false">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H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</f>
        <v>4</v>
      </c>
      <c r="AK4" s="0" t="str">
        <f aca="false">IF(IFERROR(SEARCH("bovine",LOWER(J4&amp;"")),0)&gt;0,"bovine",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J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",""),"k1=",""),"k2=",""),"k3=",""),"ka=",""),"kd=",""),"k=",""),"°c",""),"degc",""),"m-1",""),"micromolar",""),"um",""),"(",""),")","")),"cardiac",""),"heart",""),"muscle",""))</f>
        <v/>
      </c>
      <c r="AL4" s="0" t="str">
        <f aca="false">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K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",""),"k1=",""),"k2=",""),"k3=",""),"ka=",""),"kd=",""),"k=",""),"°c",""),"degc",""),"m-1",""),"micromolar",""),"um",""),"(",""),")","")),"c","")</f>
        <v/>
      </c>
      <c r="AM4" s="0" t="str">
        <f aca="false">IF(AND(IFERROR(SEARCH("tnc",LOWER(L4&amp;"")),0)&gt;0,IFERROR(SEARCH("tni",LOWER(L4&amp;"")),0)&gt;0),"tnitnc",IF(IFERROR(SEARCH("tnc",LOWER(L4&amp;"")),0)&gt;0,"tnc",IF(IFERROR(SEARCH("tn",LOWER(L4&amp;"")),0)&gt;0,"tn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L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",""),"k1=",""),"k2=",""),"k3=",""),"ka=",""),"kd=",""),"k=",""),"°c",""),"degc",""),"m-1",""),"micromolar",""),"um",""),"(",""),")","")),"-",""),"/",""),"reconstituted",""),"complex",""))))</f>
        <v/>
      </c>
      <c r="AN4" s="0" t="str">
        <f aca="false">IF(OR(IFERROR(SEARCH("scintillation",LOWER(M4&amp;"")),0)&gt;0,IFERROR(SEARCH("equilibrium dialysis",LOWER(M4&amp;"")),0)&gt;0),"sc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M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",""),"k1=",""),"k2=",""),"k3=",""),"ka=",""),"kd=",""),"k=",""),"°c",""),"degc",""),"m-1",""),"micromolar",""),"um",""),"(",""),")","")))</f>
        <v/>
      </c>
      <c r="AO4" s="0" t="str">
        <f aca="false">IF(OR(IFERROR(SEARCH("no added",LOWER(N4&amp;"")),0)&gt;0,IFERROR(SEARCH("not added",LOWER(N4&amp;"")),0)&gt;0,IFERROR(SEARCH("absence",LOWER(N4&amp;"")),0)&gt;0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0.001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-3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-6m"),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",""),"k1=",""),"k2=",""),"k3=",""),"ka=",""),"kd=",""),"k=",""),"°c",""),"degc",""),"m-1",""),"micromolar",""),"um",""),"(",""),")","")),"mgcl2",""),"mg2+",""),"magnesium",""),"mm",""))</f>
        <v/>
      </c>
      <c r="AP4" s="0" t="str">
        <f aca="false">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O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",""),"k1=",""),"k2=",""),"k3=",""),"ka=",""),"kd=",""),"k=",""),"°c",""),"degc",""),"m-1",""),"micromolar",""),"um",""),"(",""),")","")),"e","x10"),"+","")</f>
        <v/>
      </c>
      <c r="AQ4" s="0" t="str">
        <f aca="false">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P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</f>
        <v/>
      </c>
    </row>
    <row r="5" customFormat="false" ht="15" hidden="false" customHeight="false" outlineLevel="0" collapsed="false">
      <c r="A5" s="10" t="n">
        <v>2</v>
      </c>
      <c r="B5" s="11" t="s">
        <v>49</v>
      </c>
      <c r="C5" s="11" t="n">
        <v>4</v>
      </c>
      <c r="D5" s="11" t="s">
        <v>50</v>
      </c>
      <c r="E5" s="11" t="s">
        <v>51</v>
      </c>
      <c r="F5" s="11" t="n">
        <v>4</v>
      </c>
      <c r="G5" s="11" t="s">
        <v>53</v>
      </c>
      <c r="H5" s="11" t="n">
        <v>4</v>
      </c>
      <c r="J5" s="12"/>
      <c r="K5" s="12"/>
      <c r="L5" s="12"/>
      <c r="M5" s="12"/>
      <c r="N5" s="12"/>
      <c r="O5" s="12"/>
      <c r="P5" s="12"/>
      <c r="R5" s="13" t="n">
        <f aca="false">IF(J5="",0,IF(EXACT($AC5,$AK5),1,0))</f>
        <v>0</v>
      </c>
      <c r="S5" s="13" t="n">
        <f aca="false">IF(K5="",0,IF(EXACT($AD5,$AL5),1,0))</f>
        <v>0</v>
      </c>
      <c r="T5" s="13" t="n">
        <f aca="false">IF(L5="",0,IF(EXACT($AE5,$AM5),1,0))</f>
        <v>0</v>
      </c>
      <c r="U5" s="13" t="n">
        <f aca="false">IF(M5="",0,IF(EXACT($AF5,$AN5),1,0))</f>
        <v>0</v>
      </c>
      <c r="V5" s="13" t="n">
        <f aca="false">IF(N5="",0,IF(EXACT($AG5,$AO5),1,0))</f>
        <v>0</v>
      </c>
      <c r="W5" s="13" t="n">
        <f aca="false">IF(O5="",0,IF(EXACT($AH5,$AP5),1,0))</f>
        <v>0</v>
      </c>
      <c r="X5" s="13" t="n">
        <f aca="false">IF(P5="",0,IF(EXACT($AI5,$AQ5),1,0))</f>
        <v>0</v>
      </c>
      <c r="Y5" s="13" t="str">
        <f aca="false">IF(COUNTA(J5:P5)&lt;7,"",SUM(R5:X5))</f>
        <v/>
      </c>
      <c r="Z5" s="14"/>
      <c r="AA5" s="13" t="str">
        <f aca="false">IF(COUNTA(J5:P5)&lt;7,"",IF(Z5="",Y5,Z5))</f>
        <v/>
      </c>
      <c r="AC5" s="0" t="str">
        <f aca="false">IF(IFERROR(SEARCH("bovine",LOWER(B5&amp;"")),0)&gt;0,"bovine",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B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",""),"k1=",""),"k2=",""),"k3=",""),"ka=",""),"kd=",""),"k=",""),"°c",""),"degc",""),"m-1",""),"micromolar",""),"um",""),"(",""),")","")),"cardiac",""),"heart",""),"muscle",""))</f>
        <v>bovine</v>
      </c>
      <c r="AD5" s="0" t="str">
        <f aca="false">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C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",""),"k1=",""),"k2=",""),"k3=",""),"ka=",""),"kd=",""),"k=",""),"°c",""),"degc",""),"m-1",""),"micromolar",""),"um",""),"(",""),")","")),"c","")</f>
        <v>4</v>
      </c>
      <c r="AE5" s="0" t="str">
        <f aca="false">IF(AND(IFERROR(SEARCH("tnc",LOWER(D5&amp;"")),0)&gt;0,IFERROR(SEARCH("tni",LOWER(D5&amp;"")),0)&gt;0),"tnitnc",IF(IFERROR(SEARCH("tnc",LOWER(D5&amp;"")),0)&gt;0,"tnc",IF(IFERROR(SEARCH("tn",LOWER(D5&amp;"")),0)&gt;0,"tn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D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",""),"k1=",""),"k2=",""),"k3=",""),"ka=",""),"kd=",""),"k=",""),"°c",""),"degc",""),"m-1",""),"micromolar",""),"um",""),"(",""),")","")),"-",""),"/",""),"reconstituted",""),"complex",""))))</f>
        <v>tnc</v>
      </c>
      <c r="AF5" s="0" t="str">
        <f aca="false">IF(OR(IFERROR(SEARCH("scintillation",LOWER(E5&amp;"")),0)&gt;0,IFERROR(SEARCH("equilibrium dialysis",LOWER(E5&amp;"")),0)&gt;0),"sc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E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",""),"k1=",""),"k2=",""),"k3=",""),"ka=",""),"kd=",""),"k=",""),"°c",""),"degc",""),"m-1",""),"micromolar",""),"um",""),"(",""),")","")))</f>
        <v>sc</v>
      </c>
      <c r="AG5" s="0" t="str">
        <f aca="false">IF(OR(IFERROR(SEARCH("no added",LOWER(F5&amp;"")),0)&gt;0,IFERROR(SEARCH("not added",LOWER(F5&amp;"")),0)&gt;0,IFERROR(SEARCH("absence",LOWER(F5&amp;"")),0)&gt;0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0.001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-3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-6m"),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",""),"k1=",""),"k2=",""),"k3=",""),"ka=",""),"kd=",""),"k=",""),"°c",""),"degc",""),"m-1",""),"micromolar",""),"um",""),"(",""),")","")),"mgcl2",""),"mg2+",""),"magnesium",""),"mm",""))</f>
        <v>4</v>
      </c>
      <c r="AH5" s="0" t="str">
        <f aca="false">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G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",""),"k1=",""),"k2=",""),"k3=",""),"ka=",""),"kd=",""),"k=",""),"°c",""),"degc",""),"m-1",""),"micromolar",""),"um",""),"(",""),")","")),"e","x10"),"+","")</f>
        <v>2.5x105</v>
      </c>
      <c r="AI5" s="0" t="str">
        <f aca="false">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H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</f>
        <v>4</v>
      </c>
      <c r="AK5" s="0" t="str">
        <f aca="false">IF(IFERROR(SEARCH("bovine",LOWER(J5&amp;"")),0)&gt;0,"bovine",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J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",""),"k1=",""),"k2=",""),"k3=",""),"ka=",""),"kd=",""),"k=",""),"°c",""),"degc",""),"m-1",""),"micromolar",""),"um",""),"(",""),")","")),"cardiac",""),"heart",""),"muscle",""))</f>
        <v/>
      </c>
      <c r="AL5" s="0" t="str">
        <f aca="false">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K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",""),"k1=",""),"k2=",""),"k3=",""),"ka=",""),"kd=",""),"k=",""),"°c",""),"degc",""),"m-1",""),"micromolar",""),"um",""),"(",""),")","")),"c","")</f>
        <v/>
      </c>
      <c r="AM5" s="0" t="str">
        <f aca="false">IF(AND(IFERROR(SEARCH("tnc",LOWER(L5&amp;"")),0)&gt;0,IFERROR(SEARCH("tni",LOWER(L5&amp;"")),0)&gt;0),"tnitnc",IF(IFERROR(SEARCH("tnc",LOWER(L5&amp;"")),0)&gt;0,"tnc",IF(IFERROR(SEARCH("tn",LOWER(L5&amp;"")),0)&gt;0,"tn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L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",""),"k1=",""),"k2=",""),"k3=",""),"ka=",""),"kd=",""),"k=",""),"°c",""),"degc",""),"m-1",""),"micromolar",""),"um",""),"(",""),")","")),"-",""),"/",""),"reconstituted",""),"complex",""))))</f>
        <v/>
      </c>
      <c r="AN5" s="0" t="str">
        <f aca="false">IF(OR(IFERROR(SEARCH("scintillation",LOWER(M5&amp;"")),0)&gt;0,IFERROR(SEARCH("equilibrium dialysis",LOWER(M5&amp;"")),0)&gt;0),"sc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M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",""),"k1=",""),"k2=",""),"k3=",""),"ka=",""),"kd=",""),"k=",""),"°c",""),"degc",""),"m-1",""),"micromolar",""),"um",""),"(",""),")","")))</f>
        <v/>
      </c>
      <c r="AO5" s="0" t="str">
        <f aca="false">IF(OR(IFERROR(SEARCH("no added",LOWER(N5&amp;"")),0)&gt;0,IFERROR(SEARCH("not added",LOWER(N5&amp;"")),0)&gt;0,IFERROR(SEARCH("absence",LOWER(N5&amp;"")),0)&gt;0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0.001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-3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-6m"),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",""),"k1=",""),"k2=",""),"k3=",""),"ka=",""),"kd=",""),"k=",""),"°c",""),"degc",""),"m-1",""),"micromolar",""),"um",""),"(",""),")","")),"mgcl2",""),"mg2+",""),"magnesium",""),"mm",""))</f>
        <v/>
      </c>
      <c r="AP5" s="0" t="str">
        <f aca="false">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O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",""),"k1=",""),"k2=",""),"k3=",""),"ka=",""),"kd=",""),"k=",""),"°c",""),"degc",""),"m-1",""),"micromolar",""),"um",""),"(",""),")","")),"e","x10"),"+","")</f>
        <v/>
      </c>
      <c r="AQ5" s="0" t="str">
        <f aca="false">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P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</f>
        <v/>
      </c>
    </row>
    <row r="6" customFormat="false" ht="15" hidden="false" customHeight="false" outlineLevel="0" collapsed="false">
      <c r="A6" s="10" t="n">
        <v>3</v>
      </c>
      <c r="B6" s="11" t="s">
        <v>49</v>
      </c>
      <c r="C6" s="11" t="n">
        <v>4</v>
      </c>
      <c r="D6" s="11" t="s">
        <v>54</v>
      </c>
      <c r="E6" s="11" t="s">
        <v>51</v>
      </c>
      <c r="F6" s="11" t="s">
        <v>52</v>
      </c>
      <c r="G6" s="11" t="s">
        <v>55</v>
      </c>
      <c r="H6" s="11" t="n">
        <v>1</v>
      </c>
      <c r="J6" s="12"/>
      <c r="K6" s="12"/>
      <c r="L6" s="12"/>
      <c r="M6" s="12"/>
      <c r="N6" s="12"/>
      <c r="O6" s="12"/>
      <c r="P6" s="12"/>
      <c r="R6" s="13" t="n">
        <f aca="false">IF(J6="",0,IF(EXACT($AC6,$AK6),1,0))</f>
        <v>0</v>
      </c>
      <c r="S6" s="13" t="n">
        <f aca="false">IF(K6="",0,IF(EXACT($AD6,$AL6),1,0))</f>
        <v>0</v>
      </c>
      <c r="T6" s="13" t="n">
        <f aca="false">IF(L6="",0,IF(EXACT($AE6,$AM6),1,0))</f>
        <v>0</v>
      </c>
      <c r="U6" s="13" t="n">
        <f aca="false">IF(M6="",0,IF(EXACT($AF6,$AN6),1,0))</f>
        <v>0</v>
      </c>
      <c r="V6" s="13" t="n">
        <f aca="false">IF(N6="",0,IF(EXACT($AG6,$AO6),1,0))</f>
        <v>0</v>
      </c>
      <c r="W6" s="13" t="n">
        <f aca="false">IF(O6="",0,IF(EXACT($AH6,$AP6),1,0))</f>
        <v>0</v>
      </c>
      <c r="X6" s="13" t="n">
        <f aca="false">IF(P6="",0,IF(EXACT($AI6,$AQ6),1,0))</f>
        <v>0</v>
      </c>
      <c r="Y6" s="13" t="str">
        <f aca="false">IF(COUNTA(J6:P6)&lt;7,"",SUM(R6:X6))</f>
        <v/>
      </c>
      <c r="Z6" s="14"/>
      <c r="AA6" s="13" t="str">
        <f aca="false">IF(COUNTA(J6:P6)&lt;7,"",IF(Z6="",Y6,Z6))</f>
        <v/>
      </c>
      <c r="AC6" s="0" t="str">
        <f aca="false">IF(IFERROR(SEARCH("bovine",LOWER(B6&amp;"")),0)&gt;0,"bovine",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B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",""),"k1=",""),"k2=",""),"k3=",""),"ka=",""),"kd=",""),"k=",""),"°c",""),"degc",""),"m-1",""),"micromolar",""),"um",""),"(",""),")","")),"cardiac",""),"heart",""),"muscle",""))</f>
        <v>bovine</v>
      </c>
      <c r="AD6" s="0" t="str">
        <f aca="false">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C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",""),"k1=",""),"k2=",""),"k3=",""),"ka=",""),"kd=",""),"k=",""),"°c",""),"degc",""),"m-1",""),"micromolar",""),"um",""),"(",""),")","")),"c","")</f>
        <v>4</v>
      </c>
      <c r="AE6" s="0" t="str">
        <f aca="false">IF(AND(IFERROR(SEARCH("tnc",LOWER(D6&amp;"")),0)&gt;0,IFERROR(SEARCH("tni",LOWER(D6&amp;"")),0)&gt;0),"tnitnc",IF(IFERROR(SEARCH("tnc",LOWER(D6&amp;"")),0)&gt;0,"tnc",IF(IFERROR(SEARCH("tn",LOWER(D6&amp;"")),0)&gt;0,"tn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D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",""),"k1=",""),"k2=",""),"k3=",""),"ka=",""),"kd=",""),"k=",""),"°c",""),"degc",""),"m-1",""),"micromolar",""),"um",""),"(",""),")","")),"-",""),"/",""),"reconstituted",""),"complex",""))))</f>
        <v>tnitnc</v>
      </c>
      <c r="AF6" s="0" t="str">
        <f aca="false">IF(OR(IFERROR(SEARCH("scintillation",LOWER(E6&amp;"")),0)&gt;0,IFERROR(SEARCH("equilibrium dialysis",LOWER(E6&amp;"")),0)&gt;0),"sc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E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",""),"k1=",""),"k2=",""),"k3=",""),"ka=",""),"kd=",""),"k=",""),"°c",""),"degc",""),"m-1",""),"micromolar",""),"um",""),"(",""),")","")))</f>
        <v>sc</v>
      </c>
      <c r="AG6" s="0" t="str">
        <f aca="false">IF(OR(IFERROR(SEARCH("no added",LOWER(F6&amp;"")),0)&gt;0,IFERROR(SEARCH("not added",LOWER(F6&amp;"")),0)&gt;0,IFERROR(SEARCH("absence",LOWER(F6&amp;"")),0)&gt;0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0.001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-3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-6m"),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",""),"k1=",""),"k2=",""),"k3=",""),"ka=",""),"kd=",""),"k=",""),"°c",""),"degc",""),"m-1",""),"micromolar",""),"um",""),"(",""),")","")),"mgcl2",""),"mg2+",""),"magnesium",""),"mm",""))</f>
        <v>none</v>
      </c>
      <c r="AH6" s="0" t="str">
        <f aca="false">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G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",""),"k1=",""),"k2=",""),"k3=",""),"ka=",""),"kd=",""),"k=",""),"°c",""),"degc",""),"m-1",""),"micromolar",""),"um",""),"(",""),")","")),"e","x10"),"+","")</f>
        <v>1x106</v>
      </c>
      <c r="AI6" s="0" t="str">
        <f aca="false">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H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</f>
        <v>1</v>
      </c>
      <c r="AK6" s="0" t="str">
        <f aca="false">IF(IFERROR(SEARCH("bovine",LOWER(J6&amp;"")),0)&gt;0,"bovine",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J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",""),"k1=",""),"k2=",""),"k3=",""),"ka=",""),"kd=",""),"k=",""),"°c",""),"degc",""),"m-1",""),"micromolar",""),"um",""),"(",""),")","")),"cardiac",""),"heart",""),"muscle",""))</f>
        <v/>
      </c>
      <c r="AL6" s="0" t="str">
        <f aca="false">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K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",""),"k1=",""),"k2=",""),"k3=",""),"ka=",""),"kd=",""),"k=",""),"°c",""),"degc",""),"m-1",""),"micromolar",""),"um",""),"(",""),")","")),"c","")</f>
        <v/>
      </c>
      <c r="AM6" s="0" t="str">
        <f aca="false">IF(AND(IFERROR(SEARCH("tnc",LOWER(L6&amp;"")),0)&gt;0,IFERROR(SEARCH("tni",LOWER(L6&amp;"")),0)&gt;0),"tnitnc",IF(IFERROR(SEARCH("tnc",LOWER(L6&amp;"")),0)&gt;0,"tnc",IF(IFERROR(SEARCH("tn",LOWER(L6&amp;"")),0)&gt;0,"tn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L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",""),"k1=",""),"k2=",""),"k3=",""),"ka=",""),"kd=",""),"k=",""),"°c",""),"degc",""),"m-1",""),"micromolar",""),"um",""),"(",""),")","")),"-",""),"/",""),"reconstituted",""),"complex",""))))</f>
        <v/>
      </c>
      <c r="AN6" s="0" t="str">
        <f aca="false">IF(OR(IFERROR(SEARCH("scintillation",LOWER(M6&amp;"")),0)&gt;0,IFERROR(SEARCH("equilibrium dialysis",LOWER(M6&amp;"")),0)&gt;0),"sc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M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",""),"k1=",""),"k2=",""),"k3=",""),"ka=",""),"kd=",""),"k=",""),"°c",""),"degc",""),"m-1",""),"micromolar",""),"um",""),"(",""),")","")))</f>
        <v/>
      </c>
      <c r="AO6" s="0" t="str">
        <f aca="false">IF(OR(IFERROR(SEARCH("no added",LOWER(N6&amp;"")),0)&gt;0,IFERROR(SEARCH("not added",LOWER(N6&amp;"")),0)&gt;0,IFERROR(SEARCH("absence",LOWER(N6&amp;"")),0)&gt;0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0.001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-3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-6m"),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",""),"k1=",""),"k2=",""),"k3=",""),"ka=",""),"kd=",""),"k=",""),"°c",""),"degc",""),"m-1",""),"micromolar",""),"um",""),"(",""),")","")),"mgcl2",""),"mg2+",""),"magnesium",""),"mm",""))</f>
        <v/>
      </c>
      <c r="AP6" s="0" t="str">
        <f aca="false">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O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",""),"k1=",""),"k2=",""),"k3=",""),"ka=",""),"kd=",""),"k=",""),"°c",""),"degc",""),"m-1",""),"micromolar",""),"um",""),"(",""),")","")),"e","x10"),"+","")</f>
        <v/>
      </c>
      <c r="AQ6" s="0" t="str">
        <f aca="false">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P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</f>
        <v/>
      </c>
    </row>
    <row r="7" customFormat="false" ht="15" hidden="false" customHeight="false" outlineLevel="0" collapsed="false">
      <c r="A7" s="10" t="n">
        <v>4</v>
      </c>
      <c r="B7" s="11" t="s">
        <v>49</v>
      </c>
      <c r="C7" s="11" t="n">
        <v>4</v>
      </c>
      <c r="D7" s="11" t="s">
        <v>54</v>
      </c>
      <c r="E7" s="11" t="s">
        <v>51</v>
      </c>
      <c r="F7" s="11" t="n">
        <v>4</v>
      </c>
      <c r="G7" s="11" t="s">
        <v>55</v>
      </c>
      <c r="H7" s="11" t="n">
        <v>1</v>
      </c>
      <c r="J7" s="12"/>
      <c r="K7" s="12"/>
      <c r="L7" s="12"/>
      <c r="M7" s="12"/>
      <c r="N7" s="12"/>
      <c r="O7" s="12"/>
      <c r="P7" s="12"/>
      <c r="R7" s="13" t="n">
        <f aca="false">IF(J7="",0,IF(EXACT($AC7,$AK7),1,0))</f>
        <v>0</v>
      </c>
      <c r="S7" s="13" t="n">
        <f aca="false">IF(K7="",0,IF(EXACT($AD7,$AL7),1,0))</f>
        <v>0</v>
      </c>
      <c r="T7" s="13" t="n">
        <f aca="false">IF(L7="",0,IF(EXACT($AE7,$AM7),1,0))</f>
        <v>0</v>
      </c>
      <c r="U7" s="13" t="n">
        <f aca="false">IF(M7="",0,IF(EXACT($AF7,$AN7),1,0))</f>
        <v>0</v>
      </c>
      <c r="V7" s="13" t="n">
        <f aca="false">IF(N7="",0,IF(EXACT($AG7,$AO7),1,0))</f>
        <v>0</v>
      </c>
      <c r="W7" s="13" t="n">
        <f aca="false">IF(O7="",0,IF(EXACT($AH7,$AP7),1,0))</f>
        <v>0</v>
      </c>
      <c r="X7" s="13" t="n">
        <f aca="false">IF(P7="",0,IF(EXACT($AI7,$AQ7),1,0))</f>
        <v>0</v>
      </c>
      <c r="Y7" s="13" t="str">
        <f aca="false">IF(COUNTA(J7:P7)&lt;7,"",SUM(R7:X7))</f>
        <v/>
      </c>
      <c r="Z7" s="14"/>
      <c r="AA7" s="13" t="str">
        <f aca="false">IF(COUNTA(J7:P7)&lt;7,"",IF(Z7="",Y7,Z7))</f>
        <v/>
      </c>
      <c r="AC7" s="0" t="str">
        <f aca="false">IF(IFERROR(SEARCH("bovine",LOWER(B7&amp;"")),0)&gt;0,"bovine",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B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",""),"k1=",""),"k2=",""),"k3=",""),"ka=",""),"kd=",""),"k=",""),"°c",""),"degc",""),"m-1",""),"micromolar",""),"um",""),"(",""),")","")),"cardiac",""),"heart",""),"muscle",""))</f>
        <v>bovine</v>
      </c>
      <c r="AD7" s="0" t="str">
        <f aca="false">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C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",""),"k1=",""),"k2=",""),"k3=",""),"ka=",""),"kd=",""),"k=",""),"°c",""),"degc",""),"m-1",""),"micromolar",""),"um",""),"(",""),")","")),"c","")</f>
        <v>4</v>
      </c>
      <c r="AE7" s="0" t="str">
        <f aca="false">IF(AND(IFERROR(SEARCH("tnc",LOWER(D7&amp;"")),0)&gt;0,IFERROR(SEARCH("tni",LOWER(D7&amp;"")),0)&gt;0),"tnitnc",IF(IFERROR(SEARCH("tnc",LOWER(D7&amp;"")),0)&gt;0,"tnc",IF(IFERROR(SEARCH("tn",LOWER(D7&amp;"")),0)&gt;0,"tn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D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",""),"k1=",""),"k2=",""),"k3=",""),"ka=",""),"kd=",""),"k=",""),"°c",""),"degc",""),"m-1",""),"micromolar",""),"um",""),"(",""),")","")),"-",""),"/",""),"reconstituted",""),"complex",""))))</f>
        <v>tnitnc</v>
      </c>
      <c r="AF7" s="0" t="str">
        <f aca="false">IF(OR(IFERROR(SEARCH("scintillation",LOWER(E7&amp;"")),0)&gt;0,IFERROR(SEARCH("equilibrium dialysis",LOWER(E7&amp;"")),0)&gt;0),"sc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E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",""),"k1=",""),"k2=",""),"k3=",""),"ka=",""),"kd=",""),"k=",""),"°c",""),"degc",""),"m-1",""),"micromolar",""),"um",""),"(",""),")","")))</f>
        <v>sc</v>
      </c>
      <c r="AG7" s="0" t="str">
        <f aca="false">IF(OR(IFERROR(SEARCH("no added",LOWER(F7&amp;"")),0)&gt;0,IFERROR(SEARCH("not added",LOWER(F7&amp;"")),0)&gt;0,IFERROR(SEARCH("absence",LOWER(F7&amp;"")),0)&gt;0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0.001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-3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-6m"),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",""),"k1=",""),"k2=",""),"k3=",""),"ka=",""),"kd=",""),"k=",""),"°c",""),"degc",""),"m-1",""),"micromolar",""),"um",""),"(",""),")","")),"mgcl2",""),"mg2+",""),"magnesium",""),"mm",""))</f>
        <v>4</v>
      </c>
      <c r="AH7" s="0" t="str">
        <f aca="false">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G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",""),"k1=",""),"k2=",""),"k3=",""),"ka=",""),"kd=",""),"k=",""),"°c",""),"degc",""),"m-1",""),"micromolar",""),"um",""),"(",""),")","")),"e","x10"),"+","")</f>
        <v>1x106</v>
      </c>
      <c r="AI7" s="0" t="str">
        <f aca="false">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H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</f>
        <v>1</v>
      </c>
      <c r="AK7" s="0" t="str">
        <f aca="false">IF(IFERROR(SEARCH("bovine",LOWER(J7&amp;"")),0)&gt;0,"bovine",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J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",""),"k1=",""),"k2=",""),"k3=",""),"ka=",""),"kd=",""),"k=",""),"°c",""),"degc",""),"m-1",""),"micromolar",""),"um",""),"(",""),")","")),"cardiac",""),"heart",""),"muscle",""))</f>
        <v/>
      </c>
      <c r="AL7" s="0" t="str">
        <f aca="false">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K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",""),"k1=",""),"k2=",""),"k3=",""),"ka=",""),"kd=",""),"k=",""),"°c",""),"degc",""),"m-1",""),"micromolar",""),"um",""),"(",""),")","")),"c","")</f>
        <v/>
      </c>
      <c r="AM7" s="0" t="str">
        <f aca="false">IF(AND(IFERROR(SEARCH("tnc",LOWER(L7&amp;"")),0)&gt;0,IFERROR(SEARCH("tni",LOWER(L7&amp;"")),0)&gt;0),"tnitnc",IF(IFERROR(SEARCH("tnc",LOWER(L7&amp;"")),0)&gt;0,"tnc",IF(IFERROR(SEARCH("tn",LOWER(L7&amp;"")),0)&gt;0,"tn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L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",""),"k1=",""),"k2=",""),"k3=",""),"ka=",""),"kd=",""),"k=",""),"°c",""),"degc",""),"m-1",""),"micromolar",""),"um",""),"(",""),")","")),"-",""),"/",""),"reconstituted",""),"complex",""))))</f>
        <v/>
      </c>
      <c r="AN7" s="0" t="str">
        <f aca="false">IF(OR(IFERROR(SEARCH("scintillation",LOWER(M7&amp;"")),0)&gt;0,IFERROR(SEARCH("equilibrium dialysis",LOWER(M7&amp;"")),0)&gt;0),"sc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M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",""),"k1=",""),"k2=",""),"k3=",""),"ka=",""),"kd=",""),"k=",""),"°c",""),"degc",""),"m-1",""),"micromolar",""),"um",""),"(",""),")","")))</f>
        <v/>
      </c>
      <c r="AO7" s="0" t="str">
        <f aca="false">IF(OR(IFERROR(SEARCH("no added",LOWER(N7&amp;"")),0)&gt;0,IFERROR(SEARCH("not added",LOWER(N7&amp;"")),0)&gt;0,IFERROR(SEARCH("absence",LOWER(N7&amp;"")),0)&gt;0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0.001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-3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-6m"),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",""),"k1=",""),"k2=",""),"k3=",""),"ka=",""),"kd=",""),"k=",""),"°c",""),"degc",""),"m-1",""),"micromolar",""),"um",""),"(",""),")","")),"mgcl2",""),"mg2+",""),"magnesium",""),"mm",""))</f>
        <v/>
      </c>
      <c r="AP7" s="0" t="str">
        <f aca="false">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O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",""),"k1=",""),"k2=",""),"k3=",""),"ka=",""),"kd=",""),"k=",""),"°c",""),"degc",""),"m-1",""),"micromolar",""),"um",""),"(",""),")","")),"e","x10"),"+","")</f>
        <v/>
      </c>
      <c r="AQ7" s="0" t="str">
        <f aca="false">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P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</f>
        <v/>
      </c>
    </row>
    <row r="8" customFormat="false" ht="15" hidden="false" customHeight="false" outlineLevel="0" collapsed="false">
      <c r="A8" s="10" t="n">
        <v>5</v>
      </c>
      <c r="B8" s="11" t="s">
        <v>49</v>
      </c>
      <c r="C8" s="11" t="n">
        <v>4</v>
      </c>
      <c r="D8" s="11" t="s">
        <v>56</v>
      </c>
      <c r="E8" s="11" t="s">
        <v>51</v>
      </c>
      <c r="F8" s="11" t="s">
        <v>52</v>
      </c>
      <c r="G8" s="11" t="s">
        <v>57</v>
      </c>
      <c r="H8" s="11" t="n">
        <v>0.4</v>
      </c>
      <c r="J8" s="12"/>
      <c r="K8" s="12"/>
      <c r="L8" s="12"/>
      <c r="M8" s="12"/>
      <c r="N8" s="12"/>
      <c r="O8" s="12"/>
      <c r="P8" s="12"/>
      <c r="R8" s="13" t="n">
        <f aca="false">IF(J8="",0,IF(EXACT($AC8,$AK8),1,0))</f>
        <v>0</v>
      </c>
      <c r="S8" s="13" t="n">
        <f aca="false">IF(K8="",0,IF(EXACT($AD8,$AL8),1,0))</f>
        <v>0</v>
      </c>
      <c r="T8" s="13" t="n">
        <f aca="false">IF(L8="",0,IF(EXACT($AE8,$AM8),1,0))</f>
        <v>0</v>
      </c>
      <c r="U8" s="13" t="n">
        <f aca="false">IF(M8="",0,IF(EXACT($AF8,$AN8),1,0))</f>
        <v>0</v>
      </c>
      <c r="V8" s="13" t="n">
        <f aca="false">IF(N8="",0,IF(EXACT($AG8,$AO8),1,0))</f>
        <v>0</v>
      </c>
      <c r="W8" s="13" t="n">
        <f aca="false">IF(O8="",0,IF(EXACT($AH8,$AP8),1,0))</f>
        <v>0</v>
      </c>
      <c r="X8" s="13" t="n">
        <f aca="false">IF(P8="",0,IF(EXACT($AI8,$AQ8),1,0))</f>
        <v>0</v>
      </c>
      <c r="Y8" s="13" t="str">
        <f aca="false">IF(COUNTA(J8:P8)&lt;7,"",SUM(R8:X8))</f>
        <v/>
      </c>
      <c r="Z8" s="14"/>
      <c r="AA8" s="13" t="str">
        <f aca="false">IF(COUNTA(J8:P8)&lt;7,"",IF(Z8="",Y8,Z8))</f>
        <v/>
      </c>
      <c r="AC8" s="0" t="str">
        <f aca="false">IF(IFERROR(SEARCH("bovine",LOWER(B8&amp;"")),0)&gt;0,"bovine",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B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",""),"k1=",""),"k2=",""),"k3=",""),"ka=",""),"kd=",""),"k=",""),"°c",""),"degc",""),"m-1",""),"micromolar",""),"um",""),"(",""),")","")),"cardiac",""),"heart",""),"muscle",""))</f>
        <v>bovine</v>
      </c>
      <c r="AD8" s="0" t="str">
        <f aca="false">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C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",""),"k1=",""),"k2=",""),"k3=",""),"ka=",""),"kd=",""),"k=",""),"°c",""),"degc",""),"m-1",""),"micromolar",""),"um",""),"(",""),")","")),"c","")</f>
        <v>4</v>
      </c>
      <c r="AE8" s="0" t="str">
        <f aca="false">IF(AND(IFERROR(SEARCH("tnc",LOWER(D8&amp;"")),0)&gt;0,IFERROR(SEARCH("tni",LOWER(D8&amp;"")),0)&gt;0),"tnitnc",IF(IFERROR(SEARCH("tnc",LOWER(D8&amp;"")),0)&gt;0,"tnc",IF(IFERROR(SEARCH("tn",LOWER(D8&amp;"")),0)&gt;0,"tn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D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",""),"k1=",""),"k2=",""),"k3=",""),"ka=",""),"kd=",""),"k=",""),"°c",""),"degc",""),"m-1",""),"micromolar",""),"um",""),"(",""),")","")),"-",""),"/",""),"reconstituted",""),"complex",""))))</f>
        <v>tn</v>
      </c>
      <c r="AF8" s="0" t="str">
        <f aca="false">IF(OR(IFERROR(SEARCH("scintillation",LOWER(E8&amp;"")),0)&gt;0,IFERROR(SEARCH("equilibrium dialysis",LOWER(E8&amp;"")),0)&gt;0),"sc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E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",""),"k1=",""),"k2=",""),"k3=",""),"ka=",""),"kd=",""),"k=",""),"°c",""),"degc",""),"m-1",""),"micromolar",""),"um",""),"(",""),")","")))</f>
        <v>sc</v>
      </c>
      <c r="AG8" s="0" t="str">
        <f aca="false">IF(OR(IFERROR(SEARCH("no added",LOWER(F8&amp;"")),0)&gt;0,IFERROR(SEARCH("not added",LOWER(F8&amp;"")),0)&gt;0,IFERROR(SEARCH("absence",LOWER(F8&amp;"")),0)&gt;0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0.001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-3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-6m"),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",""),"k1=",""),"k2=",""),"k3=",""),"ka=",""),"kd=",""),"k=",""),"°c",""),"degc",""),"m-1",""),"micromolar",""),"um",""),"(",""),")","")),"mgcl2",""),"mg2+",""),"magnesium",""),"mm",""))</f>
        <v>none</v>
      </c>
      <c r="AH8" s="0" t="str">
        <f aca="false">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G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",""),"k1=",""),"k2=",""),"k3=",""),"ka=",""),"kd=",""),"k=",""),"°c",""),"degc",""),"m-1",""),"micromolar",""),"um",""),"(",""),")","")),"e","x10"),"+","")</f>
        <v>2.5x106</v>
      </c>
      <c r="AI8" s="0" t="str">
        <f aca="false">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H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</f>
        <v>0.4</v>
      </c>
      <c r="AK8" s="0" t="str">
        <f aca="false">IF(IFERROR(SEARCH("bovine",LOWER(J8&amp;"")),0)&gt;0,"bovine",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J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",""),"k1=",""),"k2=",""),"k3=",""),"ka=",""),"kd=",""),"k=",""),"°c",""),"degc",""),"m-1",""),"micromolar",""),"um",""),"(",""),")","")),"cardiac",""),"heart",""),"muscle",""))</f>
        <v/>
      </c>
      <c r="AL8" s="0" t="str">
        <f aca="false">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K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",""),"k1=",""),"k2=",""),"k3=",""),"ka=",""),"kd=",""),"k=",""),"°c",""),"degc",""),"m-1",""),"micromolar",""),"um",""),"(",""),")","")),"c","")</f>
        <v/>
      </c>
      <c r="AM8" s="0" t="str">
        <f aca="false">IF(AND(IFERROR(SEARCH("tnc",LOWER(L8&amp;"")),0)&gt;0,IFERROR(SEARCH("tni",LOWER(L8&amp;"")),0)&gt;0),"tnitnc",IF(IFERROR(SEARCH("tnc",LOWER(L8&amp;"")),0)&gt;0,"tnc",IF(IFERROR(SEARCH("tn",LOWER(L8&amp;"")),0)&gt;0,"tn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L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",""),"k1=",""),"k2=",""),"k3=",""),"ka=",""),"kd=",""),"k=",""),"°c",""),"degc",""),"m-1",""),"micromolar",""),"um",""),"(",""),")","")),"-",""),"/",""),"reconstituted",""),"complex",""))))</f>
        <v/>
      </c>
      <c r="AN8" s="0" t="str">
        <f aca="false">IF(OR(IFERROR(SEARCH("scintillation",LOWER(M8&amp;"")),0)&gt;0,IFERROR(SEARCH("equilibrium dialysis",LOWER(M8&amp;"")),0)&gt;0),"sc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M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",""),"k1=",""),"k2=",""),"k3=",""),"ka=",""),"kd=",""),"k=",""),"°c",""),"degc",""),"m-1",""),"micromolar",""),"um",""),"(",""),")","")))</f>
        <v/>
      </c>
      <c r="AO8" s="0" t="str">
        <f aca="false">IF(OR(IFERROR(SEARCH("no added",LOWER(N8&amp;"")),0)&gt;0,IFERROR(SEARCH("not added",LOWER(N8&amp;"")),0)&gt;0,IFERROR(SEARCH("absence",LOWER(N8&amp;"")),0)&gt;0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0.001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-3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-6m"),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",""),"k1=",""),"k2=",""),"k3=",""),"ka=",""),"kd=",""),"k=",""),"°c",""),"degc",""),"m-1",""),"micromolar",""),"um",""),"(",""),")","")),"mgcl2",""),"mg2+",""),"magnesium",""),"mm",""))</f>
        <v/>
      </c>
      <c r="AP8" s="0" t="str">
        <f aca="false">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O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",""),"k1=",""),"k2=",""),"k3=",""),"ka=",""),"kd=",""),"k=",""),"°c",""),"degc",""),"m-1",""),"micromolar",""),"um",""),"(",""),")","")),"e","x10"),"+","")</f>
        <v/>
      </c>
      <c r="AQ8" s="0" t="str">
        <f aca="false">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P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</f>
        <v/>
      </c>
    </row>
    <row r="9" customFormat="false" ht="15" hidden="false" customHeight="false" outlineLevel="0" collapsed="false">
      <c r="A9" s="10" t="n">
        <v>6</v>
      </c>
      <c r="B9" s="11" t="s">
        <v>49</v>
      </c>
      <c r="C9" s="11" t="n">
        <v>4</v>
      </c>
      <c r="D9" s="11" t="s">
        <v>56</v>
      </c>
      <c r="E9" s="11" t="s">
        <v>51</v>
      </c>
      <c r="F9" s="11" t="n">
        <v>4</v>
      </c>
      <c r="G9" s="11" t="s">
        <v>57</v>
      </c>
      <c r="H9" s="11" t="n">
        <v>0.4</v>
      </c>
      <c r="J9" s="12"/>
      <c r="K9" s="12"/>
      <c r="L9" s="12"/>
      <c r="M9" s="12"/>
      <c r="N9" s="12"/>
      <c r="O9" s="12"/>
      <c r="P9" s="12"/>
      <c r="R9" s="13" t="n">
        <f aca="false">IF(J9="",0,IF(EXACT($AC9,$AK9),1,0))</f>
        <v>0</v>
      </c>
      <c r="S9" s="13" t="n">
        <f aca="false">IF(K9="",0,IF(EXACT($AD9,$AL9),1,0))</f>
        <v>0</v>
      </c>
      <c r="T9" s="13" t="n">
        <f aca="false">IF(L9="",0,IF(EXACT($AE9,$AM9),1,0))</f>
        <v>0</v>
      </c>
      <c r="U9" s="13" t="n">
        <f aca="false">IF(M9="",0,IF(EXACT($AF9,$AN9),1,0))</f>
        <v>0</v>
      </c>
      <c r="V9" s="13" t="n">
        <f aca="false">IF(N9="",0,IF(EXACT($AG9,$AO9),1,0))</f>
        <v>0</v>
      </c>
      <c r="W9" s="13" t="n">
        <f aca="false">IF(O9="",0,IF(EXACT($AH9,$AP9),1,0))</f>
        <v>0</v>
      </c>
      <c r="X9" s="13" t="n">
        <f aca="false">IF(P9="",0,IF(EXACT($AI9,$AQ9),1,0))</f>
        <v>0</v>
      </c>
      <c r="Y9" s="13" t="str">
        <f aca="false">IF(COUNTA(J9:P9)&lt;7,"",SUM(R9:X9))</f>
        <v/>
      </c>
      <c r="Z9" s="14"/>
      <c r="AA9" s="13" t="str">
        <f aca="false">IF(COUNTA(J9:P9)&lt;7,"",IF(Z9="",Y9,Z9))</f>
        <v/>
      </c>
      <c r="AC9" s="0" t="str">
        <f aca="false">IF(IFERROR(SEARCH("bovine",LOWER(B9&amp;"")),0)&gt;0,"bovine",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B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",""),"k1=",""),"k2=",""),"k3=",""),"ka=",""),"kd=",""),"k=",""),"°c",""),"degc",""),"m-1",""),"micromolar",""),"um",""),"(",""),")","")),"cardiac",""),"heart",""),"muscle",""))</f>
        <v>bovine</v>
      </c>
      <c r="AD9" s="0" t="str">
        <f aca="false">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C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",""),"k1=",""),"k2=",""),"k3=",""),"ka=",""),"kd=",""),"k=",""),"°c",""),"degc",""),"m-1",""),"micromolar",""),"um",""),"(",""),")","")),"c","")</f>
        <v>4</v>
      </c>
      <c r="AE9" s="0" t="str">
        <f aca="false">IF(AND(IFERROR(SEARCH("tnc",LOWER(D9&amp;"")),0)&gt;0,IFERROR(SEARCH("tni",LOWER(D9&amp;"")),0)&gt;0),"tnitnc",IF(IFERROR(SEARCH("tnc",LOWER(D9&amp;"")),0)&gt;0,"tnc",IF(IFERROR(SEARCH("tn",LOWER(D9&amp;"")),0)&gt;0,"tn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D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",""),"k1=",""),"k2=",""),"k3=",""),"ka=",""),"kd=",""),"k=",""),"°c",""),"degc",""),"m-1",""),"micromolar",""),"um",""),"(",""),")","")),"-",""),"/",""),"reconstituted",""),"complex",""))))</f>
        <v>tn</v>
      </c>
      <c r="AF9" s="0" t="str">
        <f aca="false">IF(OR(IFERROR(SEARCH("scintillation",LOWER(E9&amp;"")),0)&gt;0,IFERROR(SEARCH("equilibrium dialysis",LOWER(E9&amp;"")),0)&gt;0),"sc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E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",""),"k1=",""),"k2=",""),"k3=",""),"ka=",""),"kd=",""),"k=",""),"°c",""),"degc",""),"m-1",""),"micromolar",""),"um",""),"(",""),")","")))</f>
        <v>sc</v>
      </c>
      <c r="AG9" s="0" t="str">
        <f aca="false">IF(OR(IFERROR(SEARCH("no added",LOWER(F9&amp;"")),0)&gt;0,IFERROR(SEARCH("not added",LOWER(F9&amp;"")),0)&gt;0,IFERROR(SEARCH("absence",LOWER(F9&amp;"")),0)&gt;0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0.001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-3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-6m"),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",""),"k1=",""),"k2=",""),"k3=",""),"ka=",""),"kd=",""),"k=",""),"°c",""),"degc",""),"m-1",""),"micromolar",""),"um",""),"(",""),")","")),"mgcl2",""),"mg2+",""),"magnesium",""),"mm",""))</f>
        <v>4</v>
      </c>
      <c r="AH9" s="0" t="str">
        <f aca="false">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G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",""),"k1=",""),"k2=",""),"k3=",""),"ka=",""),"kd=",""),"k=",""),"°c",""),"degc",""),"m-1",""),"micromolar",""),"um",""),"(",""),")","")),"e","x10"),"+","")</f>
        <v>2.5x106</v>
      </c>
      <c r="AI9" s="0" t="str">
        <f aca="false">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H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</f>
        <v>0.4</v>
      </c>
      <c r="AK9" s="0" t="str">
        <f aca="false">IF(IFERROR(SEARCH("bovine",LOWER(J9&amp;"")),0)&gt;0,"bovine",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J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",""),"k1=",""),"k2=",""),"k3=",""),"ka=",""),"kd=",""),"k=",""),"°c",""),"degc",""),"m-1",""),"micromolar",""),"um",""),"(",""),")","")),"cardiac",""),"heart",""),"muscle",""))</f>
        <v/>
      </c>
      <c r="AL9" s="0" t="str">
        <f aca="false">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K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",""),"k1=",""),"k2=",""),"k3=",""),"ka=",""),"kd=",""),"k=",""),"°c",""),"degc",""),"m-1",""),"micromolar",""),"um",""),"(",""),")","")),"c","")</f>
        <v/>
      </c>
      <c r="AM9" s="0" t="str">
        <f aca="false">IF(AND(IFERROR(SEARCH("tnc",LOWER(L9&amp;"")),0)&gt;0,IFERROR(SEARCH("tni",LOWER(L9&amp;"")),0)&gt;0),"tnitnc",IF(IFERROR(SEARCH("tnc",LOWER(L9&amp;"")),0)&gt;0,"tnc",IF(IFERROR(SEARCH("tn",LOWER(L9&amp;"")),0)&gt;0,"tn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L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",""),"k1=",""),"k2=",""),"k3=",""),"ka=",""),"kd=",""),"k=",""),"°c",""),"degc",""),"m-1",""),"micromolar",""),"um",""),"(",""),")","")),"-",""),"/",""),"reconstituted",""),"complex",""))))</f>
        <v/>
      </c>
      <c r="AN9" s="0" t="str">
        <f aca="false">IF(OR(IFERROR(SEARCH("scintillation",LOWER(M9&amp;"")),0)&gt;0,IFERROR(SEARCH("equilibrium dialysis",LOWER(M9&amp;"")),0)&gt;0),"sc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M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",""),"k1=",""),"k2=",""),"k3=",""),"ka=",""),"kd=",""),"k=",""),"°c",""),"degc",""),"m-1",""),"micromolar",""),"um",""),"(",""),")","")))</f>
        <v/>
      </c>
      <c r="AO9" s="0" t="str">
        <f aca="false">IF(OR(IFERROR(SEARCH("no added",LOWER(N9&amp;"")),0)&gt;0,IFERROR(SEARCH("not added",LOWER(N9&amp;"")),0)&gt;0,IFERROR(SEARCH("absence",LOWER(N9&amp;"")),0)&gt;0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0.001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-3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-6m"),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",""),"k1=",""),"k2=",""),"k3=",""),"ka=",""),"kd=",""),"k=",""),"°c",""),"degc",""),"m-1",""),"micromolar",""),"um",""),"(",""),")","")),"mgcl2",""),"mg2+",""),"magnesium",""),"mm",""))</f>
        <v/>
      </c>
      <c r="AP9" s="0" t="str">
        <f aca="false">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O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",""),"k1=",""),"k2=",""),"k3=",""),"ka=",""),"kd=",""),"k=",""),"°c",""),"degc",""),"m-1",""),"micromolar",""),"um",""),"(",""),")","")),"e","x10"),"+","")</f>
        <v/>
      </c>
      <c r="AQ9" s="0" t="str">
        <f aca="false">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P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</f>
        <v/>
      </c>
    </row>
    <row r="11" customFormat="false" ht="15" hidden="false" customHeight="false" outlineLevel="0" collapsed="false">
      <c r="W11" s="2" t="s">
        <v>58</v>
      </c>
      <c r="Y11" s="15" t="str">
        <f aca="false">IF(COUNTBLANK(J4:P9)&gt;0,"",SUM(AA4:AA9))</f>
        <v/>
      </c>
      <c r="Z11" s="3" t="s">
        <v>59</v>
      </c>
      <c r="AA11" s="16" t="str">
        <f aca="false">IF(Y11="","",Y11/42)</f>
        <v/>
      </c>
    </row>
    <row r="12" customFormat="false" ht="15" hidden="false" customHeight="false" outlineLevel="0" collapsed="false">
      <c r="W12" s="3" t="s">
        <v>60</v>
      </c>
    </row>
    <row r="14" customFormat="false" ht="15" hidden="false" customHeight="false" outlineLevel="0" collapsed="false">
      <c r="B14" s="3" t="s">
        <v>61</v>
      </c>
      <c r="J14" s="14"/>
    </row>
  </sheetData>
  <mergeCells count="3">
    <mergeCell ref="B2:H2"/>
    <mergeCell ref="J2:P2"/>
    <mergeCell ref="R2:X2"/>
  </mergeCells>
  <dataValidations count="1">
    <dataValidation allowBlank="false" error="Your /7 must be a whole number between 0 and 7." errorStyle="stop" errorTitle="Enter a score from 0 to 7" operator="between" showDropDown="false" showErrorMessage="true" showInputMessage="false" sqref="Z4:Z9" type="whole">
      <formula1>0</formula1>
      <formula2>7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T5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2" style="0" width="34"/>
    <col collapsed="false" customWidth="true" hidden="false" outlineLevel="0" max="3" min="3" style="0" width="20"/>
    <col collapsed="false" customWidth="true" hidden="false" outlineLevel="0" max="4" min="4" style="0" width="14"/>
    <col collapsed="false" customWidth="true" hidden="true" outlineLevel="0" max="20" min="20" style="0" width="13"/>
  </cols>
  <sheetData>
    <row r="2" customFormat="false" ht="17.35" hidden="false" customHeight="false" outlineLevel="0" collapsed="false">
      <c r="B2" s="1" t="s">
        <v>66</v>
      </c>
    </row>
    <row r="4" customFormat="false" ht="15" hidden="false" customHeight="false" outlineLevel="0" collapsed="false">
      <c r="B4" s="2" t="s">
        <v>67</v>
      </c>
    </row>
    <row r="5" customFormat="false" ht="15" hidden="false" customHeight="false" outlineLevel="0" collapsed="false">
      <c r="B5" s="17" t="s">
        <v>68</v>
      </c>
      <c r="C5" s="17" t="s">
        <v>69</v>
      </c>
      <c r="D5" s="17" t="s">
        <v>70</v>
      </c>
    </row>
    <row r="6" customFormat="false" ht="15" hidden="false" customHeight="false" outlineLevel="0" collapsed="false">
      <c r="B6" s="10" t="s">
        <v>71</v>
      </c>
      <c r="C6" s="10" t="str">
        <f aca="false">IF(COUNTBLANK('Run 1'!J4:P9)=0,SUM('Run 1'!AA4:AA9),"Incomplete")</f>
        <v>Incomplete</v>
      </c>
      <c r="D6" s="18" t="str">
        <f aca="false">IF(C6="Incomplete","—",C6/42)</f>
        <v>—</v>
      </c>
    </row>
    <row r="7" customFormat="false" ht="15" hidden="false" customHeight="false" outlineLevel="0" collapsed="false">
      <c r="B7" s="10" t="s">
        <v>72</v>
      </c>
      <c r="C7" s="10" t="str">
        <f aca="false">IF(COUNTBLANK('Run 2'!J4:P9)=0,SUM('Run 2'!AA4:AA9),"Incomplete")</f>
        <v>Incomplete</v>
      </c>
      <c r="D7" s="18" t="str">
        <f aca="false">IF(C7="Incomplete","—",C7/42)</f>
        <v>—</v>
      </c>
    </row>
    <row r="8" customFormat="false" ht="15" hidden="false" customHeight="false" outlineLevel="0" collapsed="false">
      <c r="B8" s="10" t="s">
        <v>73</v>
      </c>
      <c r="C8" s="10" t="str">
        <f aca="false">IF(COUNTBLANK('Run 3'!J4:P9)=0,SUM('Run 3'!AA4:AA9),"Incomplete")</f>
        <v>Incomplete</v>
      </c>
      <c r="D8" s="18" t="str">
        <f aca="false">IF(C8="Incomplete","—",C8/42)</f>
        <v>—</v>
      </c>
    </row>
    <row r="9" customFormat="false" ht="15" hidden="false" customHeight="false" outlineLevel="0" collapsed="false">
      <c r="B9" s="10" t="s">
        <v>74</v>
      </c>
      <c r="C9" s="10" t="str">
        <f aca="false">IF(COUNTBLANK('Run 4'!J4:P9)=0,SUM('Run 4'!AA4:AA9),"Incomplete")</f>
        <v>Incomplete</v>
      </c>
      <c r="D9" s="18" t="str">
        <f aca="false">IF(C9="Incomplete","—",C9/42)</f>
        <v>—</v>
      </c>
    </row>
    <row r="10" customFormat="false" ht="15" hidden="false" customHeight="false" outlineLevel="0" collapsed="false">
      <c r="B10" s="10" t="s">
        <v>75</v>
      </c>
      <c r="C10" s="10" t="str">
        <f aca="false">IF(COUNTBLANK('Run 5'!J4:P9)=0,SUM('Run 5'!AA4:AA9),"Incomplete")</f>
        <v>Incomplete</v>
      </c>
      <c r="D10" s="18" t="str">
        <f aca="false">IF(C10="Incomplete","—",C10/42)</f>
        <v>—</v>
      </c>
    </row>
    <row r="11" customFormat="false" ht="15" hidden="false" customHeight="false" outlineLevel="0" collapsed="false">
      <c r="B11" s="2" t="s">
        <v>76</v>
      </c>
      <c r="D11" s="19" t="str">
        <f aca="false">IFERROR(AVERAGE(D6:D10),"—")</f>
        <v>—</v>
      </c>
    </row>
    <row r="14" customFormat="false" ht="15" hidden="false" customHeight="false" outlineLevel="0" collapsed="false">
      <c r="B14" s="2" t="s">
        <v>77</v>
      </c>
    </row>
    <row r="15" customFormat="false" ht="15" hidden="false" customHeight="false" outlineLevel="0" collapsed="false">
      <c r="B15" s="3" t="s">
        <v>78</v>
      </c>
    </row>
    <row r="17" customFormat="false" ht="15" hidden="false" customHeight="false" outlineLevel="0" collapsed="false">
      <c r="C17" s="3" t="s">
        <v>79</v>
      </c>
      <c r="D17" s="0" t="str">
        <f aca="false">IF(COUNT(T17:T58)=42,SUM(T17:T58),"—")</f>
        <v>—</v>
      </c>
      <c r="T17" s="0" t="str">
        <f aca="false">IF(AND(COUNTBLANK('Run 1'!J4:P9)=0,COUNTBLANK('Run 2'!J4:P9)=0,COUNTBLANK('Run 3'!J4:P9)=0,COUNTBLANK('Run 4'!J4:P9)=0,COUNTBLANK('Run 5'!J4:P9)=0),IF(AND(EXACT('Run 2'!AK4,'Run 1'!AK4),EXACT('Run 3'!AK4,'Run 1'!AK4),EXACT('Run 4'!AK4,'Run 1'!AK4),EXACT('Run 5'!AK4,'Run 1'!AK4)),1,0),"")</f>
        <v/>
      </c>
    </row>
    <row r="18" customFormat="false" ht="15" hidden="false" customHeight="false" outlineLevel="0" collapsed="false">
      <c r="C18" s="3" t="s">
        <v>80</v>
      </c>
      <c r="D18" s="0" t="str">
        <f aca="false">IF(COUNT(T17:T58)=42,42,"—")</f>
        <v>—</v>
      </c>
      <c r="T18" s="0" t="str">
        <f aca="false">IF(AND(COUNTBLANK('Run 1'!J4:P9)=0,COUNTBLANK('Run 2'!J4:P9)=0,COUNTBLANK('Run 3'!J4:P9)=0,COUNTBLANK('Run 4'!J4:P9)=0,COUNTBLANK('Run 5'!J4:P9)=0),IF(AND(EXACT('Run 2'!AL4,'Run 1'!AL4),EXACT('Run 3'!AL4,'Run 1'!AL4),EXACT('Run 4'!AL4,'Run 1'!AL4),EXACT('Run 5'!AL4,'Run 1'!AL4)),1,0),"")</f>
        <v/>
      </c>
    </row>
    <row r="19" customFormat="false" ht="15" hidden="false" customHeight="false" outlineLevel="0" collapsed="false">
      <c r="C19" s="2" t="s">
        <v>81</v>
      </c>
      <c r="D19" s="19" t="str">
        <f aca="false">IF(COUNT(T17:T58)=42,D17/D18,"—")</f>
        <v>—</v>
      </c>
      <c r="T19" s="0" t="str">
        <f aca="false">IF(AND(COUNTBLANK('Run 1'!J4:P9)=0,COUNTBLANK('Run 2'!J4:P9)=0,COUNTBLANK('Run 3'!J4:P9)=0,COUNTBLANK('Run 4'!J4:P9)=0,COUNTBLANK('Run 5'!J4:P9)=0),IF(AND(EXACT('Run 2'!AM4,'Run 1'!AM4),EXACT('Run 3'!AM4,'Run 1'!AM4),EXACT('Run 4'!AM4,'Run 1'!AM4),EXACT('Run 5'!AM4,'Run 1'!AM4)),1,0),"")</f>
        <v/>
      </c>
    </row>
    <row r="20" customFormat="false" ht="15" hidden="false" customHeight="false" outlineLevel="0" collapsed="false">
      <c r="T20" s="0" t="str">
        <f aca="false">IF(AND(COUNTBLANK('Run 1'!J4:P9)=0,COUNTBLANK('Run 2'!J4:P9)=0,COUNTBLANK('Run 3'!J4:P9)=0,COUNTBLANK('Run 4'!J4:P9)=0,COUNTBLANK('Run 5'!J4:P9)=0),IF(AND(EXACT('Run 2'!AN4,'Run 1'!AN4),EXACT('Run 3'!AN4,'Run 1'!AN4),EXACT('Run 4'!AN4,'Run 1'!AN4),EXACT('Run 5'!AN4,'Run 1'!AN4)),1,0),"")</f>
        <v/>
      </c>
    </row>
    <row r="21" customFormat="false" ht="15" hidden="false" customHeight="false" outlineLevel="0" collapsed="false">
      <c r="B21" s="3" t="s">
        <v>82</v>
      </c>
      <c r="T21" s="0" t="str">
        <f aca="false">IF(AND(COUNTBLANK('Run 1'!J4:P9)=0,COUNTBLANK('Run 2'!J4:P9)=0,COUNTBLANK('Run 3'!J4:P9)=0,COUNTBLANK('Run 4'!J4:P9)=0,COUNTBLANK('Run 5'!J4:P9)=0),IF(AND(EXACT('Run 2'!AO4,'Run 1'!AO4),EXACT('Run 3'!AO4,'Run 1'!AO4),EXACT('Run 4'!AO4,'Run 1'!AO4),EXACT('Run 5'!AO4,'Run 1'!AO4)),1,0),"")</f>
        <v/>
      </c>
    </row>
    <row r="22" customFormat="false" ht="15" hidden="false" customHeight="false" outlineLevel="0" collapsed="false">
      <c r="T22" s="0" t="str">
        <f aca="false">IF(AND(COUNTBLANK('Run 1'!J4:P9)=0,COUNTBLANK('Run 2'!J4:P9)=0,COUNTBLANK('Run 3'!J4:P9)=0,COUNTBLANK('Run 4'!J4:P9)=0,COUNTBLANK('Run 5'!J4:P9)=0),IF(AND(EXACT('Run 2'!AP4,'Run 1'!AP4),EXACT('Run 3'!AP4,'Run 1'!AP4),EXACT('Run 4'!AP4,'Run 1'!AP4),EXACT('Run 5'!AP4,'Run 1'!AP4)),1,0),"")</f>
        <v/>
      </c>
    </row>
    <row r="23" customFormat="false" ht="15" hidden="false" customHeight="false" outlineLevel="0" collapsed="false">
      <c r="T23" s="0" t="str">
        <f aca="false">IF(AND(COUNTBLANK('Run 1'!J4:P9)=0,COUNTBLANK('Run 2'!J4:P9)=0,COUNTBLANK('Run 3'!J4:P9)=0,COUNTBLANK('Run 4'!J4:P9)=0,COUNTBLANK('Run 5'!J4:P9)=0),IF(AND(EXACT('Run 2'!AQ4,'Run 1'!AQ4),EXACT('Run 3'!AQ4,'Run 1'!AQ4),EXACT('Run 4'!AQ4,'Run 1'!AQ4),EXACT('Run 5'!AQ4,'Run 1'!AQ4)),1,0),"")</f>
        <v/>
      </c>
    </row>
    <row r="24" customFormat="false" ht="15" hidden="false" customHeight="false" outlineLevel="0" collapsed="false">
      <c r="T24" s="0" t="str">
        <f aca="false">IF(AND(COUNTBLANK('Run 1'!J4:P9)=0,COUNTBLANK('Run 2'!J4:P9)=0,COUNTBLANK('Run 3'!J4:P9)=0,COUNTBLANK('Run 4'!J4:P9)=0,COUNTBLANK('Run 5'!J4:P9)=0),IF(AND(EXACT('Run 2'!AK5,'Run 1'!AK5),EXACT('Run 3'!AK5,'Run 1'!AK5),EXACT('Run 4'!AK5,'Run 1'!AK5),EXACT('Run 5'!AK5,'Run 1'!AK5)),1,0),"")</f>
        <v/>
      </c>
    </row>
    <row r="25" customFormat="false" ht="15" hidden="false" customHeight="false" outlineLevel="0" collapsed="false">
      <c r="T25" s="0" t="str">
        <f aca="false">IF(AND(COUNTBLANK('Run 1'!J4:P9)=0,COUNTBLANK('Run 2'!J4:P9)=0,COUNTBLANK('Run 3'!J4:P9)=0,COUNTBLANK('Run 4'!J4:P9)=0,COUNTBLANK('Run 5'!J4:P9)=0),IF(AND(EXACT('Run 2'!AL5,'Run 1'!AL5),EXACT('Run 3'!AL5,'Run 1'!AL5),EXACT('Run 4'!AL5,'Run 1'!AL5),EXACT('Run 5'!AL5,'Run 1'!AL5)),1,0),"")</f>
        <v/>
      </c>
    </row>
    <row r="26" customFormat="false" ht="15" hidden="false" customHeight="false" outlineLevel="0" collapsed="false">
      <c r="T26" s="0" t="str">
        <f aca="false">IF(AND(COUNTBLANK('Run 1'!J4:P9)=0,COUNTBLANK('Run 2'!J4:P9)=0,COUNTBLANK('Run 3'!J4:P9)=0,COUNTBLANK('Run 4'!J4:P9)=0,COUNTBLANK('Run 5'!J4:P9)=0),IF(AND(EXACT('Run 2'!AM5,'Run 1'!AM5),EXACT('Run 3'!AM5,'Run 1'!AM5),EXACT('Run 4'!AM5,'Run 1'!AM5),EXACT('Run 5'!AM5,'Run 1'!AM5)),1,0),"")</f>
        <v/>
      </c>
    </row>
    <row r="27" customFormat="false" ht="15" hidden="false" customHeight="false" outlineLevel="0" collapsed="false">
      <c r="T27" s="0" t="str">
        <f aca="false">IF(AND(COUNTBLANK('Run 1'!J4:P9)=0,COUNTBLANK('Run 2'!J4:P9)=0,COUNTBLANK('Run 3'!J4:P9)=0,COUNTBLANK('Run 4'!J4:P9)=0,COUNTBLANK('Run 5'!J4:P9)=0),IF(AND(EXACT('Run 2'!AN5,'Run 1'!AN5),EXACT('Run 3'!AN5,'Run 1'!AN5),EXACT('Run 4'!AN5,'Run 1'!AN5),EXACT('Run 5'!AN5,'Run 1'!AN5)),1,0),"")</f>
        <v/>
      </c>
    </row>
    <row r="28" customFormat="false" ht="15" hidden="false" customHeight="false" outlineLevel="0" collapsed="false">
      <c r="T28" s="0" t="str">
        <f aca="false">IF(AND(COUNTBLANK('Run 1'!J4:P9)=0,COUNTBLANK('Run 2'!J4:P9)=0,COUNTBLANK('Run 3'!J4:P9)=0,COUNTBLANK('Run 4'!J4:P9)=0,COUNTBLANK('Run 5'!J4:P9)=0),IF(AND(EXACT('Run 2'!AO5,'Run 1'!AO5),EXACT('Run 3'!AO5,'Run 1'!AO5),EXACT('Run 4'!AO5,'Run 1'!AO5),EXACT('Run 5'!AO5,'Run 1'!AO5)),1,0),"")</f>
        <v/>
      </c>
    </row>
    <row r="29" customFormat="false" ht="15" hidden="false" customHeight="false" outlineLevel="0" collapsed="false">
      <c r="T29" s="0" t="str">
        <f aca="false">IF(AND(COUNTBLANK('Run 1'!J4:P9)=0,COUNTBLANK('Run 2'!J4:P9)=0,COUNTBLANK('Run 3'!J4:P9)=0,COUNTBLANK('Run 4'!J4:P9)=0,COUNTBLANK('Run 5'!J4:P9)=0),IF(AND(EXACT('Run 2'!AP5,'Run 1'!AP5),EXACT('Run 3'!AP5,'Run 1'!AP5),EXACT('Run 4'!AP5,'Run 1'!AP5),EXACT('Run 5'!AP5,'Run 1'!AP5)),1,0),"")</f>
        <v/>
      </c>
    </row>
    <row r="30" customFormat="false" ht="15" hidden="false" customHeight="false" outlineLevel="0" collapsed="false">
      <c r="T30" s="0" t="str">
        <f aca="false">IF(AND(COUNTBLANK('Run 1'!J4:P9)=0,COUNTBLANK('Run 2'!J4:P9)=0,COUNTBLANK('Run 3'!J4:P9)=0,COUNTBLANK('Run 4'!J4:P9)=0,COUNTBLANK('Run 5'!J4:P9)=0),IF(AND(EXACT('Run 2'!AQ5,'Run 1'!AQ5),EXACT('Run 3'!AQ5,'Run 1'!AQ5),EXACT('Run 4'!AQ5,'Run 1'!AQ5),EXACT('Run 5'!AQ5,'Run 1'!AQ5)),1,0),"")</f>
        <v/>
      </c>
    </row>
    <row r="31" customFormat="false" ht="15" hidden="false" customHeight="false" outlineLevel="0" collapsed="false">
      <c r="T31" s="0" t="str">
        <f aca="false">IF(AND(COUNTBLANK('Run 1'!J4:P9)=0,COUNTBLANK('Run 2'!J4:P9)=0,COUNTBLANK('Run 3'!J4:P9)=0,COUNTBLANK('Run 4'!J4:P9)=0,COUNTBLANK('Run 5'!J4:P9)=0),IF(AND(EXACT('Run 2'!AK6,'Run 1'!AK6),EXACT('Run 3'!AK6,'Run 1'!AK6),EXACT('Run 4'!AK6,'Run 1'!AK6),EXACT('Run 5'!AK6,'Run 1'!AK6)),1,0),"")</f>
        <v/>
      </c>
    </row>
    <row r="32" customFormat="false" ht="15" hidden="false" customHeight="false" outlineLevel="0" collapsed="false">
      <c r="T32" s="0" t="str">
        <f aca="false">IF(AND(COUNTBLANK('Run 1'!J4:P9)=0,COUNTBLANK('Run 2'!J4:P9)=0,COUNTBLANK('Run 3'!J4:P9)=0,COUNTBLANK('Run 4'!J4:P9)=0,COUNTBLANK('Run 5'!J4:P9)=0),IF(AND(EXACT('Run 2'!AL6,'Run 1'!AL6),EXACT('Run 3'!AL6,'Run 1'!AL6),EXACT('Run 4'!AL6,'Run 1'!AL6),EXACT('Run 5'!AL6,'Run 1'!AL6)),1,0),"")</f>
        <v/>
      </c>
    </row>
    <row r="33" customFormat="false" ht="15" hidden="false" customHeight="false" outlineLevel="0" collapsed="false">
      <c r="T33" s="0" t="str">
        <f aca="false">IF(AND(COUNTBLANK('Run 1'!J4:P9)=0,COUNTBLANK('Run 2'!J4:P9)=0,COUNTBLANK('Run 3'!J4:P9)=0,COUNTBLANK('Run 4'!J4:P9)=0,COUNTBLANK('Run 5'!J4:P9)=0),IF(AND(EXACT('Run 2'!AM6,'Run 1'!AM6),EXACT('Run 3'!AM6,'Run 1'!AM6),EXACT('Run 4'!AM6,'Run 1'!AM6),EXACT('Run 5'!AM6,'Run 1'!AM6)),1,0),"")</f>
        <v/>
      </c>
    </row>
    <row r="34" customFormat="false" ht="15" hidden="false" customHeight="false" outlineLevel="0" collapsed="false">
      <c r="T34" s="0" t="str">
        <f aca="false">IF(AND(COUNTBLANK('Run 1'!J4:P9)=0,COUNTBLANK('Run 2'!J4:P9)=0,COUNTBLANK('Run 3'!J4:P9)=0,COUNTBLANK('Run 4'!J4:P9)=0,COUNTBLANK('Run 5'!J4:P9)=0),IF(AND(EXACT('Run 2'!AN6,'Run 1'!AN6),EXACT('Run 3'!AN6,'Run 1'!AN6),EXACT('Run 4'!AN6,'Run 1'!AN6),EXACT('Run 5'!AN6,'Run 1'!AN6)),1,0),"")</f>
        <v/>
      </c>
    </row>
    <row r="35" customFormat="false" ht="15" hidden="false" customHeight="false" outlineLevel="0" collapsed="false">
      <c r="T35" s="0" t="str">
        <f aca="false">IF(AND(COUNTBLANK('Run 1'!J4:P9)=0,COUNTBLANK('Run 2'!J4:P9)=0,COUNTBLANK('Run 3'!J4:P9)=0,COUNTBLANK('Run 4'!J4:P9)=0,COUNTBLANK('Run 5'!J4:P9)=0),IF(AND(EXACT('Run 2'!AO6,'Run 1'!AO6),EXACT('Run 3'!AO6,'Run 1'!AO6),EXACT('Run 4'!AO6,'Run 1'!AO6),EXACT('Run 5'!AO6,'Run 1'!AO6)),1,0),"")</f>
        <v/>
      </c>
    </row>
    <row r="36" customFormat="false" ht="15" hidden="false" customHeight="false" outlineLevel="0" collapsed="false">
      <c r="T36" s="0" t="str">
        <f aca="false">IF(AND(COUNTBLANK('Run 1'!J4:P9)=0,COUNTBLANK('Run 2'!J4:P9)=0,COUNTBLANK('Run 3'!J4:P9)=0,COUNTBLANK('Run 4'!J4:P9)=0,COUNTBLANK('Run 5'!J4:P9)=0),IF(AND(EXACT('Run 2'!AP6,'Run 1'!AP6),EXACT('Run 3'!AP6,'Run 1'!AP6),EXACT('Run 4'!AP6,'Run 1'!AP6),EXACT('Run 5'!AP6,'Run 1'!AP6)),1,0),"")</f>
        <v/>
      </c>
    </row>
    <row r="37" customFormat="false" ht="15" hidden="false" customHeight="false" outlineLevel="0" collapsed="false">
      <c r="T37" s="0" t="str">
        <f aca="false">IF(AND(COUNTBLANK('Run 1'!J4:P9)=0,COUNTBLANK('Run 2'!J4:P9)=0,COUNTBLANK('Run 3'!J4:P9)=0,COUNTBLANK('Run 4'!J4:P9)=0,COUNTBLANK('Run 5'!J4:P9)=0),IF(AND(EXACT('Run 2'!AQ6,'Run 1'!AQ6),EXACT('Run 3'!AQ6,'Run 1'!AQ6),EXACT('Run 4'!AQ6,'Run 1'!AQ6),EXACT('Run 5'!AQ6,'Run 1'!AQ6)),1,0),"")</f>
        <v/>
      </c>
    </row>
    <row r="38" customFormat="false" ht="15" hidden="false" customHeight="false" outlineLevel="0" collapsed="false">
      <c r="T38" s="0" t="str">
        <f aca="false">IF(AND(COUNTBLANK('Run 1'!J4:P9)=0,COUNTBLANK('Run 2'!J4:P9)=0,COUNTBLANK('Run 3'!J4:P9)=0,COUNTBLANK('Run 4'!J4:P9)=0,COUNTBLANK('Run 5'!J4:P9)=0),IF(AND(EXACT('Run 2'!AK7,'Run 1'!AK7),EXACT('Run 3'!AK7,'Run 1'!AK7),EXACT('Run 4'!AK7,'Run 1'!AK7),EXACT('Run 5'!AK7,'Run 1'!AK7)),1,0),"")</f>
        <v/>
      </c>
    </row>
    <row r="39" customFormat="false" ht="15" hidden="false" customHeight="false" outlineLevel="0" collapsed="false">
      <c r="T39" s="0" t="str">
        <f aca="false">IF(AND(COUNTBLANK('Run 1'!J4:P9)=0,COUNTBLANK('Run 2'!J4:P9)=0,COUNTBLANK('Run 3'!J4:P9)=0,COUNTBLANK('Run 4'!J4:P9)=0,COUNTBLANK('Run 5'!J4:P9)=0),IF(AND(EXACT('Run 2'!AL7,'Run 1'!AL7),EXACT('Run 3'!AL7,'Run 1'!AL7),EXACT('Run 4'!AL7,'Run 1'!AL7),EXACT('Run 5'!AL7,'Run 1'!AL7)),1,0),"")</f>
        <v/>
      </c>
    </row>
    <row r="40" customFormat="false" ht="15" hidden="false" customHeight="false" outlineLevel="0" collapsed="false">
      <c r="T40" s="0" t="str">
        <f aca="false">IF(AND(COUNTBLANK('Run 1'!J4:P9)=0,COUNTBLANK('Run 2'!J4:P9)=0,COUNTBLANK('Run 3'!J4:P9)=0,COUNTBLANK('Run 4'!J4:P9)=0,COUNTBLANK('Run 5'!J4:P9)=0),IF(AND(EXACT('Run 2'!AM7,'Run 1'!AM7),EXACT('Run 3'!AM7,'Run 1'!AM7),EXACT('Run 4'!AM7,'Run 1'!AM7),EXACT('Run 5'!AM7,'Run 1'!AM7)),1,0),"")</f>
        <v/>
      </c>
    </row>
    <row r="41" customFormat="false" ht="15" hidden="false" customHeight="false" outlineLevel="0" collapsed="false">
      <c r="T41" s="0" t="str">
        <f aca="false">IF(AND(COUNTBLANK('Run 1'!J4:P9)=0,COUNTBLANK('Run 2'!J4:P9)=0,COUNTBLANK('Run 3'!J4:P9)=0,COUNTBLANK('Run 4'!J4:P9)=0,COUNTBLANK('Run 5'!J4:P9)=0),IF(AND(EXACT('Run 2'!AN7,'Run 1'!AN7),EXACT('Run 3'!AN7,'Run 1'!AN7),EXACT('Run 4'!AN7,'Run 1'!AN7),EXACT('Run 5'!AN7,'Run 1'!AN7)),1,0),"")</f>
        <v/>
      </c>
    </row>
    <row r="42" customFormat="false" ht="15" hidden="false" customHeight="false" outlineLevel="0" collapsed="false">
      <c r="T42" s="0" t="str">
        <f aca="false">IF(AND(COUNTBLANK('Run 1'!J4:P9)=0,COUNTBLANK('Run 2'!J4:P9)=0,COUNTBLANK('Run 3'!J4:P9)=0,COUNTBLANK('Run 4'!J4:P9)=0,COUNTBLANK('Run 5'!J4:P9)=0),IF(AND(EXACT('Run 2'!AO7,'Run 1'!AO7),EXACT('Run 3'!AO7,'Run 1'!AO7),EXACT('Run 4'!AO7,'Run 1'!AO7),EXACT('Run 5'!AO7,'Run 1'!AO7)),1,0),"")</f>
        <v/>
      </c>
    </row>
    <row r="43" customFormat="false" ht="15" hidden="false" customHeight="false" outlineLevel="0" collapsed="false">
      <c r="T43" s="0" t="str">
        <f aca="false">IF(AND(COUNTBLANK('Run 1'!J4:P9)=0,COUNTBLANK('Run 2'!J4:P9)=0,COUNTBLANK('Run 3'!J4:P9)=0,COUNTBLANK('Run 4'!J4:P9)=0,COUNTBLANK('Run 5'!J4:P9)=0),IF(AND(EXACT('Run 2'!AP7,'Run 1'!AP7),EXACT('Run 3'!AP7,'Run 1'!AP7),EXACT('Run 4'!AP7,'Run 1'!AP7),EXACT('Run 5'!AP7,'Run 1'!AP7)),1,0),"")</f>
        <v/>
      </c>
    </row>
    <row r="44" customFormat="false" ht="15" hidden="false" customHeight="false" outlineLevel="0" collapsed="false">
      <c r="T44" s="0" t="str">
        <f aca="false">IF(AND(COUNTBLANK('Run 1'!J4:P9)=0,COUNTBLANK('Run 2'!J4:P9)=0,COUNTBLANK('Run 3'!J4:P9)=0,COUNTBLANK('Run 4'!J4:P9)=0,COUNTBLANK('Run 5'!J4:P9)=0),IF(AND(EXACT('Run 2'!AQ7,'Run 1'!AQ7),EXACT('Run 3'!AQ7,'Run 1'!AQ7),EXACT('Run 4'!AQ7,'Run 1'!AQ7),EXACT('Run 5'!AQ7,'Run 1'!AQ7)),1,0),"")</f>
        <v/>
      </c>
    </row>
    <row r="45" customFormat="false" ht="15" hidden="false" customHeight="false" outlineLevel="0" collapsed="false">
      <c r="T45" s="0" t="str">
        <f aca="false">IF(AND(COUNTBLANK('Run 1'!J4:P9)=0,COUNTBLANK('Run 2'!J4:P9)=0,COUNTBLANK('Run 3'!J4:P9)=0,COUNTBLANK('Run 4'!J4:P9)=0,COUNTBLANK('Run 5'!J4:P9)=0),IF(AND(EXACT('Run 2'!AK8,'Run 1'!AK8),EXACT('Run 3'!AK8,'Run 1'!AK8),EXACT('Run 4'!AK8,'Run 1'!AK8),EXACT('Run 5'!AK8,'Run 1'!AK8)),1,0),"")</f>
        <v/>
      </c>
    </row>
    <row r="46" customFormat="false" ht="15" hidden="false" customHeight="false" outlineLevel="0" collapsed="false">
      <c r="T46" s="0" t="str">
        <f aca="false">IF(AND(COUNTBLANK('Run 1'!J4:P9)=0,COUNTBLANK('Run 2'!J4:P9)=0,COUNTBLANK('Run 3'!J4:P9)=0,COUNTBLANK('Run 4'!J4:P9)=0,COUNTBLANK('Run 5'!J4:P9)=0),IF(AND(EXACT('Run 2'!AL8,'Run 1'!AL8),EXACT('Run 3'!AL8,'Run 1'!AL8),EXACT('Run 4'!AL8,'Run 1'!AL8),EXACT('Run 5'!AL8,'Run 1'!AL8)),1,0),"")</f>
        <v/>
      </c>
    </row>
    <row r="47" customFormat="false" ht="15" hidden="false" customHeight="false" outlineLevel="0" collapsed="false">
      <c r="T47" s="0" t="str">
        <f aca="false">IF(AND(COUNTBLANK('Run 1'!J4:P9)=0,COUNTBLANK('Run 2'!J4:P9)=0,COUNTBLANK('Run 3'!J4:P9)=0,COUNTBLANK('Run 4'!J4:P9)=0,COUNTBLANK('Run 5'!J4:P9)=0),IF(AND(EXACT('Run 2'!AM8,'Run 1'!AM8),EXACT('Run 3'!AM8,'Run 1'!AM8),EXACT('Run 4'!AM8,'Run 1'!AM8),EXACT('Run 5'!AM8,'Run 1'!AM8)),1,0),"")</f>
        <v/>
      </c>
    </row>
    <row r="48" customFormat="false" ht="15" hidden="false" customHeight="false" outlineLevel="0" collapsed="false">
      <c r="T48" s="0" t="str">
        <f aca="false">IF(AND(COUNTBLANK('Run 1'!J4:P9)=0,COUNTBLANK('Run 2'!J4:P9)=0,COUNTBLANK('Run 3'!J4:P9)=0,COUNTBLANK('Run 4'!J4:P9)=0,COUNTBLANK('Run 5'!J4:P9)=0),IF(AND(EXACT('Run 2'!AN8,'Run 1'!AN8),EXACT('Run 3'!AN8,'Run 1'!AN8),EXACT('Run 4'!AN8,'Run 1'!AN8),EXACT('Run 5'!AN8,'Run 1'!AN8)),1,0),"")</f>
        <v/>
      </c>
    </row>
    <row r="49" customFormat="false" ht="15" hidden="false" customHeight="false" outlineLevel="0" collapsed="false">
      <c r="T49" s="0" t="str">
        <f aca="false">IF(AND(COUNTBLANK('Run 1'!J4:P9)=0,COUNTBLANK('Run 2'!J4:P9)=0,COUNTBLANK('Run 3'!J4:P9)=0,COUNTBLANK('Run 4'!J4:P9)=0,COUNTBLANK('Run 5'!J4:P9)=0),IF(AND(EXACT('Run 2'!AO8,'Run 1'!AO8),EXACT('Run 3'!AO8,'Run 1'!AO8),EXACT('Run 4'!AO8,'Run 1'!AO8),EXACT('Run 5'!AO8,'Run 1'!AO8)),1,0),"")</f>
        <v/>
      </c>
    </row>
    <row r="50" customFormat="false" ht="15" hidden="false" customHeight="false" outlineLevel="0" collapsed="false">
      <c r="T50" s="0" t="str">
        <f aca="false">IF(AND(COUNTBLANK('Run 1'!J4:P9)=0,COUNTBLANK('Run 2'!J4:P9)=0,COUNTBLANK('Run 3'!J4:P9)=0,COUNTBLANK('Run 4'!J4:P9)=0,COUNTBLANK('Run 5'!J4:P9)=0),IF(AND(EXACT('Run 2'!AP8,'Run 1'!AP8),EXACT('Run 3'!AP8,'Run 1'!AP8),EXACT('Run 4'!AP8,'Run 1'!AP8),EXACT('Run 5'!AP8,'Run 1'!AP8)),1,0),"")</f>
        <v/>
      </c>
    </row>
    <row r="51" customFormat="false" ht="15" hidden="false" customHeight="false" outlineLevel="0" collapsed="false">
      <c r="T51" s="0" t="str">
        <f aca="false">IF(AND(COUNTBLANK('Run 1'!J4:P9)=0,COUNTBLANK('Run 2'!J4:P9)=0,COUNTBLANK('Run 3'!J4:P9)=0,COUNTBLANK('Run 4'!J4:P9)=0,COUNTBLANK('Run 5'!J4:P9)=0),IF(AND(EXACT('Run 2'!AQ8,'Run 1'!AQ8),EXACT('Run 3'!AQ8,'Run 1'!AQ8),EXACT('Run 4'!AQ8,'Run 1'!AQ8),EXACT('Run 5'!AQ8,'Run 1'!AQ8)),1,0),"")</f>
        <v/>
      </c>
    </row>
    <row r="52" customFormat="false" ht="15" hidden="false" customHeight="false" outlineLevel="0" collapsed="false">
      <c r="T52" s="0" t="str">
        <f aca="false">IF(AND(COUNTBLANK('Run 1'!J4:P9)=0,COUNTBLANK('Run 2'!J4:P9)=0,COUNTBLANK('Run 3'!J4:P9)=0,COUNTBLANK('Run 4'!J4:P9)=0,COUNTBLANK('Run 5'!J4:P9)=0),IF(AND(EXACT('Run 2'!AK9,'Run 1'!AK9),EXACT('Run 3'!AK9,'Run 1'!AK9),EXACT('Run 4'!AK9,'Run 1'!AK9),EXACT('Run 5'!AK9,'Run 1'!AK9)),1,0),"")</f>
        <v/>
      </c>
    </row>
    <row r="53" customFormat="false" ht="15" hidden="false" customHeight="false" outlineLevel="0" collapsed="false">
      <c r="T53" s="0" t="str">
        <f aca="false">IF(AND(COUNTBLANK('Run 1'!J4:P9)=0,COUNTBLANK('Run 2'!J4:P9)=0,COUNTBLANK('Run 3'!J4:P9)=0,COUNTBLANK('Run 4'!J4:P9)=0,COUNTBLANK('Run 5'!J4:P9)=0),IF(AND(EXACT('Run 2'!AL9,'Run 1'!AL9),EXACT('Run 3'!AL9,'Run 1'!AL9),EXACT('Run 4'!AL9,'Run 1'!AL9),EXACT('Run 5'!AL9,'Run 1'!AL9)),1,0),"")</f>
        <v/>
      </c>
    </row>
    <row r="54" customFormat="false" ht="15" hidden="false" customHeight="false" outlineLevel="0" collapsed="false">
      <c r="T54" s="0" t="str">
        <f aca="false">IF(AND(COUNTBLANK('Run 1'!J4:P9)=0,COUNTBLANK('Run 2'!J4:P9)=0,COUNTBLANK('Run 3'!J4:P9)=0,COUNTBLANK('Run 4'!J4:P9)=0,COUNTBLANK('Run 5'!J4:P9)=0),IF(AND(EXACT('Run 2'!AM9,'Run 1'!AM9),EXACT('Run 3'!AM9,'Run 1'!AM9),EXACT('Run 4'!AM9,'Run 1'!AM9),EXACT('Run 5'!AM9,'Run 1'!AM9)),1,0),"")</f>
        <v/>
      </c>
    </row>
    <row r="55" customFormat="false" ht="15" hidden="false" customHeight="false" outlineLevel="0" collapsed="false">
      <c r="T55" s="0" t="str">
        <f aca="false">IF(AND(COUNTBLANK('Run 1'!J4:P9)=0,COUNTBLANK('Run 2'!J4:P9)=0,COUNTBLANK('Run 3'!J4:P9)=0,COUNTBLANK('Run 4'!J4:P9)=0,COUNTBLANK('Run 5'!J4:P9)=0),IF(AND(EXACT('Run 2'!AN9,'Run 1'!AN9),EXACT('Run 3'!AN9,'Run 1'!AN9),EXACT('Run 4'!AN9,'Run 1'!AN9),EXACT('Run 5'!AN9,'Run 1'!AN9)),1,0),"")</f>
        <v/>
      </c>
    </row>
    <row r="56" customFormat="false" ht="15" hidden="false" customHeight="false" outlineLevel="0" collapsed="false">
      <c r="T56" s="0" t="str">
        <f aca="false">IF(AND(COUNTBLANK('Run 1'!J4:P9)=0,COUNTBLANK('Run 2'!J4:P9)=0,COUNTBLANK('Run 3'!J4:P9)=0,COUNTBLANK('Run 4'!J4:P9)=0,COUNTBLANK('Run 5'!J4:P9)=0),IF(AND(EXACT('Run 2'!AO9,'Run 1'!AO9),EXACT('Run 3'!AO9,'Run 1'!AO9),EXACT('Run 4'!AO9,'Run 1'!AO9),EXACT('Run 5'!AO9,'Run 1'!AO9)),1,0),"")</f>
        <v/>
      </c>
    </row>
    <row r="57" customFormat="false" ht="15" hidden="false" customHeight="false" outlineLevel="0" collapsed="false">
      <c r="T57" s="0" t="str">
        <f aca="false">IF(AND(COUNTBLANK('Run 1'!J4:P9)=0,COUNTBLANK('Run 2'!J4:P9)=0,COUNTBLANK('Run 3'!J4:P9)=0,COUNTBLANK('Run 4'!J4:P9)=0,COUNTBLANK('Run 5'!J4:P9)=0),IF(AND(EXACT('Run 2'!AP9,'Run 1'!AP9),EXACT('Run 3'!AP9,'Run 1'!AP9),EXACT('Run 4'!AP9,'Run 1'!AP9),EXACT('Run 5'!AP9,'Run 1'!AP9)),1,0),"")</f>
        <v/>
      </c>
    </row>
    <row r="58" customFormat="false" ht="15" hidden="false" customHeight="false" outlineLevel="0" collapsed="false">
      <c r="T58" s="0" t="str">
        <f aca="false">IF(AND(COUNTBLANK('Run 1'!J4:P9)=0,COUNTBLANK('Run 2'!J4:P9)=0,COUNTBLANK('Run 3'!J4:P9)=0,COUNTBLANK('Run 4'!J4:P9)=0,COUNTBLANK('Run 5'!J4:P9)=0),IF(AND(EXACT('Run 2'!AQ9,'Run 1'!AQ9),EXACT('Run 3'!AQ9,'Run 1'!AQ9),EXACT('Run 4'!AQ9,'Run 1'!AQ9),EXACT('Run 5'!AQ9,'Run 1'!AQ9)),1,0),"")</f>
        <v/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LibreOfficeDev/26.8.0.0.alpha0$MacOSX_AARCH64 LibreOffice_project/2c87e51eeaa2b413ff4ae097b2705eea1995d8e5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en-AU</dc:language>
  <cp:lastModifiedBy/>
  <cp:revision>0</cp:revision>
  <dc:subject/>
  <dc:title/>
</cp:coreProperties>
</file>