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Start Here" sheetId="1" state="visible" r:id="rId1"/>
    <sheet xmlns:r="http://schemas.openxmlformats.org/officeDocument/2006/relationships" name="Run 1" sheetId="2" state="visible" r:id="rId2"/>
    <sheet xmlns:r="http://schemas.openxmlformats.org/officeDocument/2006/relationships" name="Run 2" sheetId="3" state="visible" r:id="rId3"/>
    <sheet xmlns:r="http://schemas.openxmlformats.org/officeDocument/2006/relationships" name="Run 3" sheetId="4" state="visible" r:id="rId4"/>
    <sheet xmlns:r="http://schemas.openxmlformats.org/officeDocument/2006/relationships" name="Run 4" sheetId="5" state="visible" r:id="rId5"/>
    <sheet xmlns:r="http://schemas.openxmlformats.org/officeDocument/2006/relationships" name="Run 5" sheetId="6" state="visible" r:id="rId6"/>
    <sheet xmlns:r="http://schemas.openxmlformats.org/officeDocument/2006/relationships" name="Score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1"/>
    </font>
    <font>
      <i val="1"/>
      <color rgb="00595959"/>
      <sz val="10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C9CDD6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E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pivotButton="0" quotePrefix="0" xfId="0"/>
    <xf numFmtId="0" fontId="4" fillId="5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6" borderId="1" applyAlignment="1" pivotButton="0" quotePrefix="0" xfId="0">
      <alignment horizontal="center"/>
    </xf>
    <xf numFmtId="0" fontId="0" fillId="7" borderId="1" pivotButton="0" quotePrefix="0" xfId="0"/>
    <xf numFmtId="0" fontId="0" fillId="0" borderId="1" applyAlignment="1" pivotButton="0" quotePrefix="0" xfId="0">
      <alignment horizontal="center"/>
    </xf>
    <xf numFmtId="0" fontId="0" fillId="8" borderId="1" pivotButton="0" quotePrefix="0" xfId="0"/>
    <xf numFmtId="0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  <xf numFmtId="0" fontId="4" fillId="5" borderId="1" pivotButton="0" quotePrefix="0" xfId="0"/>
    <xf numFmtId="9" fontId="0" fillId="0" borderId="1" pivotButton="0" quotePrefix="0" xfId="0"/>
    <xf numFmtId="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ref13 scoring template</t>
        </is>
      </c>
    </row>
    <row r="3">
      <c r="B3" t="inlineStr"/>
    </row>
    <row r="4">
      <c r="B4" t="inlineStr">
        <is>
          <t>What this workbook does: you paste your model's answer for paper ref13, and it tells you how close it is to the benchmark (the correct answer).</t>
        </is>
      </c>
    </row>
    <row r="5">
      <c r="B5" t="inlineStr"/>
    </row>
    <row r="6">
      <c r="B6" s="2" t="inlineStr">
        <is>
          <t>HOW TO USE IT — do this 5 times (once per run):</t>
        </is>
      </c>
    </row>
    <row r="7">
      <c r="B7" t="inlineStr"/>
    </row>
    <row r="8">
      <c r="B8" t="inlineStr">
        <is>
          <t>1.  Go to the 'Run 1' tab.</t>
        </is>
      </c>
    </row>
    <row r="9">
      <c r="B9" t="inlineStr">
        <is>
          <t>2.  Look at the grey BENCHMARK block on the left: 6 rows, the correct answer.</t>
        </is>
      </c>
    </row>
    <row r="10">
      <c r="B10" t="inlineStr">
        <is>
          <t>3.  In your model's answer, find the row that matches each benchmark row's</t>
        </is>
      </c>
    </row>
    <row r="11">
      <c r="B11" t="inlineStr">
        <is>
          <t xml:space="preserve">     conditions (species, complex, method, Mg). Paste its 7 values into the blue</t>
        </is>
      </c>
    </row>
    <row r="12">
      <c r="B12" t="inlineStr">
        <is>
          <t xml:space="preserve">     'YOUR MODEL' columns on the same line.</t>
        </is>
      </c>
    </row>
    <row r="13">
      <c r="B13" t="inlineStr">
        <is>
          <t>4.  The green AUTO-CHECK columns turn each field into 1 (match) or 0 (no match),</t>
        </is>
      </c>
    </row>
    <row r="14">
      <c r="B14" t="inlineStr">
        <is>
          <t xml:space="preserve">     and the SCORE column adds them up out of 7.</t>
        </is>
      </c>
    </row>
    <row r="15">
      <c r="B15" t="inlineStr">
        <is>
          <t>5.  The auto-check is rough. If it marked a field 0 but you think the values really</t>
        </is>
      </c>
    </row>
    <row r="16">
      <c r="B16" t="inlineStr">
        <is>
          <t xml:space="preserve">     mean the same thing (e.g. '4' vs '4 °C', or 'None' vs '0.001 mM'), type the</t>
        </is>
      </c>
    </row>
    <row r="17">
      <c r="B17" t="inlineStr">
        <is>
          <t xml:space="preserve">     corrected row score into the yellow 'Your /7' column. Otherwise leave it blank.</t>
        </is>
      </c>
    </row>
    <row r="18">
      <c r="B18" t="inlineStr">
        <is>
          <t>6.  Repeat for Run 2 … Run 5 on their tabs (a fresh chat / new answer each time).</t>
        </is>
      </c>
    </row>
    <row r="19">
      <c r="B19" t="inlineStr"/>
    </row>
    <row r="20">
      <c r="B20" t="inlineStr">
        <is>
          <t>7.  Open the 'Scoreboard' tab to see your accuracy for each run, your average, and</t>
        </is>
      </c>
    </row>
    <row r="21">
      <c r="B21" t="inlineStr">
        <is>
          <t xml:space="preserve">     how consistent your model was across the 5 runs.</t>
        </is>
      </c>
    </row>
    <row r="22">
      <c r="B22" t="inlineStr"/>
    </row>
    <row r="23">
      <c r="B23" s="2" t="inlineStr">
        <is>
          <t>GOOD TO KNOW:</t>
        </is>
      </c>
    </row>
    <row r="24">
      <c r="B24" t="inlineStr">
        <is>
          <t>•  Your model may output MORE than 6 rows (extra high-affinity site rows). That is</t>
        </is>
      </c>
    </row>
    <row r="25">
      <c r="B25" t="inlineStr">
        <is>
          <t xml:space="preserve">   expected. Only score the 6 that match the benchmark; jot the extra count in the</t>
        </is>
      </c>
    </row>
    <row r="26">
      <c r="B26" t="inlineStr">
        <is>
          <t xml:space="preserve">   yellow box under each run if you like.</t>
        </is>
      </c>
    </row>
    <row r="27">
      <c r="B27" t="inlineStr">
        <is>
          <t>•  If your model's answer is messy (not a clean table), use prompts/2-normalizer-prompt.md</t>
        </is>
      </c>
    </row>
    <row r="28">
      <c r="B28" t="inlineStr">
        <is>
          <t xml:space="preserve">   first, then paste.</t>
        </is>
      </c>
    </row>
    <row r="29">
      <c r="B29" t="inlineStr">
        <is>
          <t>•  You never edit the grey or green cells. You only ever type in blue and yellow cells.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pane xSplit="9" ySplit="3" topLeftCell="J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2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8" customWidth="1" min="25" max="25"/>
    <col width="14" customWidth="1" min="26" max="26"/>
    <col width="9" customWidth="1" min="27" max="27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</cols>
  <sheetData>
    <row r="1">
      <c r="A1" s="1" t="inlineStr">
        <is>
          <t>RUN 1</t>
        </is>
      </c>
      <c r="C1" s="3" t="inlineStr">
        <is>
          <t>Paste your model's values into the BLUE columns, one benchmark row at a time. The GREEN columns check them automatically.</t>
        </is>
      </c>
    </row>
    <row r="2">
      <c r="B2" s="4" t="inlineStr">
        <is>
          <t>BENCHMARK — do not edit</t>
        </is>
      </c>
      <c r="J2" s="5" t="inlineStr">
        <is>
          <t>YOUR MODEL — paste values here</t>
        </is>
      </c>
      <c r="R2" s="6" t="inlineStr">
        <is>
          <t>AUTO-CHECK (rough — you have the final say)</t>
        </is>
      </c>
      <c r="Y2" s="7" t="inlineStr">
        <is>
          <t>SCORE</t>
        </is>
      </c>
    </row>
    <row r="3" ht="30" customHeight="1">
      <c r="A3" s="8" t="inlineStr">
        <is>
          <t>Row</t>
        </is>
      </c>
      <c r="B3" s="9" t="inlineStr">
        <is>
          <t>Species</t>
        </is>
      </c>
      <c r="C3" s="9" t="inlineStr">
        <is>
          <t>Temp (°C)</t>
        </is>
      </c>
      <c r="D3" s="9" t="inlineStr">
        <is>
          <t>Troponin complex</t>
        </is>
      </c>
      <c r="E3" s="9" t="inlineStr">
        <is>
          <t>Bound Ca2+ measure</t>
        </is>
      </c>
      <c r="F3" s="9" t="inlineStr">
        <is>
          <t>Mg (mM)</t>
        </is>
      </c>
      <c r="G3" s="9" t="inlineStr">
        <is>
          <t>Kd (M^-1)</t>
        </is>
      </c>
      <c r="H3" s="9" t="inlineStr">
        <is>
          <t>K (µM)</t>
        </is>
      </c>
      <c r="J3" s="9" t="inlineStr">
        <is>
          <t>Species</t>
        </is>
      </c>
      <c r="K3" s="9" t="inlineStr">
        <is>
          <t>Temp (°C)</t>
        </is>
      </c>
      <c r="L3" s="9" t="inlineStr">
        <is>
          <t>Troponin complex</t>
        </is>
      </c>
      <c r="M3" s="9" t="inlineStr">
        <is>
          <t>Bound Ca2+ measure</t>
        </is>
      </c>
      <c r="N3" s="9" t="inlineStr">
        <is>
          <t>Mg (mM)</t>
        </is>
      </c>
      <c r="O3" s="9" t="inlineStr">
        <is>
          <t>Kd (M^-1)</t>
        </is>
      </c>
      <c r="P3" s="9" t="inlineStr">
        <is>
          <t>K (µM)</t>
        </is>
      </c>
      <c r="R3" s="9" t="inlineStr">
        <is>
          <t>Species</t>
        </is>
      </c>
      <c r="S3" s="9" t="inlineStr">
        <is>
          <t>Temp (°C)</t>
        </is>
      </c>
      <c r="T3" s="9" t="inlineStr">
        <is>
          <t>Troponin complex</t>
        </is>
      </c>
      <c r="U3" s="9" t="inlineStr">
        <is>
          <t>Bound Ca2+ measure</t>
        </is>
      </c>
      <c r="V3" s="9" t="inlineStr">
        <is>
          <t>Mg (mM)</t>
        </is>
      </c>
      <c r="W3" s="9" t="inlineStr">
        <is>
          <t>Kd (M^-1)</t>
        </is>
      </c>
      <c r="X3" s="9" t="inlineStr">
        <is>
          <t>K (µM)</t>
        </is>
      </c>
      <c r="Y3" s="8" t="inlineStr">
        <is>
          <t>Auto /7</t>
        </is>
      </c>
      <c r="Z3" s="8" t="inlineStr">
        <is>
          <t>Your /7 (edit only if you disagree)</t>
        </is>
      </c>
      <c r="AA3" s="8" t="inlineStr">
        <is>
          <t>Final /7</t>
        </is>
      </c>
      <c r="AC3" t="inlineStr">
        <is>
          <t>norm(GT):Species</t>
        </is>
      </c>
      <c r="AD3" t="inlineStr">
        <is>
          <t>norm(GT):Temp (°C)</t>
        </is>
      </c>
      <c r="AE3" t="inlineStr">
        <is>
          <t>norm(GT):Troponin complex</t>
        </is>
      </c>
      <c r="AF3" t="inlineStr">
        <is>
          <t>norm(GT):Bound Ca2+ measure</t>
        </is>
      </c>
      <c r="AG3" t="inlineStr">
        <is>
          <t>norm(GT):Mg (mM)</t>
        </is>
      </c>
      <c r="AH3" t="inlineStr">
        <is>
          <t>norm(GT):Kd (M^-1)</t>
        </is>
      </c>
      <c r="AI3" t="inlineStr">
        <is>
          <t>norm(GT):K (µM)</t>
        </is>
      </c>
      <c r="AK3" t="inlineStr">
        <is>
          <t>norm(you):Species</t>
        </is>
      </c>
      <c r="AL3" t="inlineStr">
        <is>
          <t>norm(you):Temp (°C)</t>
        </is>
      </c>
      <c r="AM3" t="inlineStr">
        <is>
          <t>norm(you):Troponin complex</t>
        </is>
      </c>
      <c r="AN3" t="inlineStr">
        <is>
          <t>norm(you):Bound Ca2+ measure</t>
        </is>
      </c>
      <c r="AO3" t="inlineStr">
        <is>
          <t>norm(you):Mg (mM)</t>
        </is>
      </c>
      <c r="AP3" t="inlineStr">
        <is>
          <t>norm(you):Kd (M^-1)</t>
        </is>
      </c>
      <c r="AQ3" t="inlineStr">
        <is>
          <t>norm(you):K (µM)</t>
        </is>
      </c>
    </row>
    <row r="4">
      <c r="A4" s="10" t="n">
        <v>1</v>
      </c>
      <c r="B4" s="11" t="inlineStr">
        <is>
          <t>Bovine</t>
        </is>
      </c>
      <c r="C4" s="11" t="n">
        <v>4</v>
      </c>
      <c r="D4" s="11" t="inlineStr">
        <is>
          <t>TnC</t>
        </is>
      </c>
      <c r="E4" s="11" t="inlineStr">
        <is>
          <t>SC</t>
        </is>
      </c>
      <c r="F4" s="11" t="inlineStr">
        <is>
          <t>None</t>
        </is>
      </c>
      <c r="G4" s="11" t="inlineStr">
        <is>
          <t>2.5 x 10^5</t>
        </is>
      </c>
      <c r="H4" s="11" t="n">
        <v>4</v>
      </c>
      <c r="J4" s="12" t="n"/>
      <c r="K4" s="12" t="n"/>
      <c r="L4" s="12" t="n"/>
      <c r="M4" s="12" t="n"/>
      <c r="N4" s="12" t="n"/>
      <c r="O4" s="12" t="n"/>
      <c r="P4" s="12" t="n"/>
      <c r="R4" s="13">
        <f>IF(J4="",0,IF(EXACT($AC4,$AK4),1,IF(IFERROR(VALUE($AC4)=VALUE($AK4),FALSE),1,0)))</f>
        <v/>
      </c>
      <c r="S4" s="13">
        <f>IF(K4="",0,IF(EXACT($AD4,$AL4),1,IF(IFERROR(VALUE($AD4)=VALUE($AL4),FALSE),1,0)))</f>
        <v/>
      </c>
      <c r="T4" s="13">
        <f>IF(L4="",0,IF(EXACT($AE4,$AM4),1,IF(IFERROR(VALUE($AE4)=VALUE($AM4),FALSE),1,0)))</f>
        <v/>
      </c>
      <c r="U4" s="13">
        <f>IF(M4="",0,IF(EXACT($AF4,$AN4),1,IF(IFERROR(VALUE($AF4)=VALUE($AN4),FALSE),1,0)))</f>
        <v/>
      </c>
      <c r="V4" s="13">
        <f>IF(N4="",0,IF(EXACT($AG4,$AO4),1,IF(IFERROR(VALUE($AG4)=VALUE($AO4),FALSE),1,0)))</f>
        <v/>
      </c>
      <c r="W4" s="13">
        <f>IF(O4="",0,IF(EXACT($AH4,$AP4),1,IF(IFERROR(VALUE($AH4)=VALUE($AP4),FALSE),1,0)))</f>
        <v/>
      </c>
      <c r="X4" s="13">
        <f>IF(P4="",0,IF(EXACT($AI4,$AQ4),1,IF(IFERROR(VALUE($AI4)=VALUE($AQ4),FALSE),1,0)))</f>
        <v/>
      </c>
      <c r="Y4" s="13">
        <f>SUM(R4:X4)</f>
        <v/>
      </c>
      <c r="Z4" s="14" t="n"/>
      <c r="AA4" s="13">
        <f>IF(Z4="",Y4,Z4)</f>
        <v/>
      </c>
      <c r="AC4">
        <f>TRIM(SUBSTITUTE(SUBSTITUTE(SUBSTITUTE(SUBSTITUTE(SUBSTITUTE(SUBSTITUTE(SUBSTITUTE(SUBSTITUTE(SUBSTITUTE(SUBSTITUTE(SUBSTITUTE(SUBSTITUTE(SUBSTITUTE(LOWER(SUBSTITUTE(SUBSTITUTE(SUBSTITUTE(SUBSTITUTE(SUBSTITUTE(B4,"×","x"),"·",""),"−","-"),"–","-"),"^","")),"μ","u"),"µ","u")," ",""),"k1=",""),"k2=",""),"k3=",""),"kd=",""),"ka=",""),"k=",""),"°c",""),"m-1",""),"um",""),"mm",""))</f>
        <v/>
      </c>
      <c r="AD4">
        <f>TRIM(SUBSTITUTE(SUBSTITUTE(SUBSTITUTE(SUBSTITUTE(SUBSTITUTE(SUBSTITUTE(SUBSTITUTE(SUBSTITUTE(SUBSTITUTE(SUBSTITUTE(SUBSTITUTE(SUBSTITUTE(SUBSTITUTE(LOWER(SUBSTITUTE(SUBSTITUTE(SUBSTITUTE(SUBSTITUTE(SUBSTITUTE(C4,"×","x"),"·",""),"−","-"),"–","-"),"^","")),"μ","u"),"µ","u")," ",""),"k1=",""),"k2=",""),"k3=",""),"kd=",""),"ka=",""),"k=",""),"°c",""),"m-1",""),"um",""),"mm",""))</f>
        <v/>
      </c>
      <c r="AE4">
        <f>TRIM(SUBSTITUTE(SUBSTITUTE(SUBSTITUTE(SUBSTITUTE(SUBSTITUTE(SUBSTITUTE(SUBSTITUTE(SUBSTITUTE(SUBSTITUTE(SUBSTITUTE(SUBSTITUTE(SUBSTITUTE(SUBSTITUTE(LOWER(SUBSTITUTE(SUBSTITUTE(SUBSTITUTE(SUBSTITUTE(SUBSTITUTE(D4,"×","x"),"·",""),"−","-"),"–","-"),"^","")),"μ","u"),"µ","u")," ",""),"k1=",""),"k2=",""),"k3=",""),"kd=",""),"ka=",""),"k=",""),"°c",""),"m-1",""),"um",""),"mm",""))</f>
        <v/>
      </c>
      <c r="AF4">
        <f>TRIM(SUBSTITUTE(SUBSTITUTE(SUBSTITUTE(SUBSTITUTE(SUBSTITUTE(SUBSTITUTE(SUBSTITUTE(SUBSTITUTE(SUBSTITUTE(SUBSTITUTE(SUBSTITUTE(SUBSTITUTE(SUBSTITUTE(LOWER(SUBSTITUTE(SUBSTITUTE(SUBSTITUTE(SUBSTITUTE(SUBSTITUTE(E4,"×","x"),"·",""),"−","-"),"–","-"),"^","")),"μ","u"),"µ","u")," ",""),"k1=",""),"k2=",""),"k3=",""),"kd=",""),"ka=",""),"k=",""),"°c",""),"m-1",""),"um",""),"mm",""))</f>
        <v/>
      </c>
      <c r="AG4">
        <f>TRIM(SUBSTITUTE(SUBSTITUTE(SUBSTITUTE(SUBSTITUTE(SUBSTITUTE(SUBSTITUTE(SUBSTITUTE(SUBSTITUTE(SUBSTITUTE(SUBSTITUTE(SUBSTITUTE(SUBSTITUTE(SUBSTITUTE(LOWER(SUBSTITUTE(SUBSTITUTE(SUBSTITUTE(SUBSTITUTE(SUBSTITUTE(F4,"×","x"),"·",""),"−","-"),"–","-"),"^","")),"μ","u"),"µ","u")," ",""),"k1=",""),"k2=",""),"k3=",""),"kd=",""),"ka=",""),"k=",""),"°c",""),"m-1",""),"um",""),"mm",""))</f>
        <v/>
      </c>
      <c r="AH4">
        <f>TRIM(SUBSTITUTE(SUBSTITUTE(SUBSTITUTE(SUBSTITUTE(SUBSTITUTE(SUBSTITUTE(SUBSTITUTE(SUBSTITUTE(SUBSTITUTE(SUBSTITUTE(SUBSTITUTE(SUBSTITUTE(SUBSTITUTE(LOWER(SUBSTITUTE(SUBSTITUTE(SUBSTITUTE(SUBSTITUTE(SUBSTITUTE(G4,"×","x"),"·",""),"−","-"),"–","-"),"^","")),"μ","u"),"µ","u")," ",""),"k1=",""),"k2=",""),"k3=",""),"kd=",""),"ka=",""),"k=",""),"°c",""),"m-1",""),"um",""),"mm",""))</f>
        <v/>
      </c>
      <c r="AI4">
        <f>TRIM(SUBSTITUTE(SUBSTITUTE(SUBSTITUTE(SUBSTITUTE(SUBSTITUTE(SUBSTITUTE(SUBSTITUTE(SUBSTITUTE(SUBSTITUTE(SUBSTITUTE(SUBSTITUTE(SUBSTITUTE(SUBSTITUTE(LOWER(SUBSTITUTE(SUBSTITUTE(SUBSTITUTE(SUBSTITUTE(SUBSTITUTE(H4,"×","x"),"·",""),"−","-"),"–","-"),"^","")),"μ","u"),"µ","u")," ",""),"k1=",""),"k2=",""),"k3=",""),"kd=",""),"ka=",""),"k=",""),"°c",""),"m-1",""),"um",""),"mm",""))</f>
        <v/>
      </c>
      <c r="AK4">
        <f>TRIM(SUBSTITUTE(SUBSTITUTE(SUBSTITUTE(SUBSTITUTE(SUBSTITUTE(SUBSTITUTE(SUBSTITUTE(SUBSTITUTE(SUBSTITUTE(SUBSTITUTE(SUBSTITUTE(SUBSTITUTE(SUBSTITUTE(LOWER(SUBSTITUTE(SUBSTITUTE(SUBSTITUTE(SUBSTITUTE(SUBSTITUTE(J4,"×","x"),"·",""),"−","-"),"–","-"),"^","")),"μ","u"),"µ","u")," ",""),"k1=",""),"k2=",""),"k3=",""),"kd=",""),"ka=",""),"k=",""),"°c",""),"m-1",""),"um",""),"mm",""))</f>
        <v/>
      </c>
      <c r="AL4">
        <f>TRIM(SUBSTITUTE(SUBSTITUTE(SUBSTITUTE(SUBSTITUTE(SUBSTITUTE(SUBSTITUTE(SUBSTITUTE(SUBSTITUTE(SUBSTITUTE(SUBSTITUTE(SUBSTITUTE(SUBSTITUTE(SUBSTITUTE(LOWER(SUBSTITUTE(SUBSTITUTE(SUBSTITUTE(SUBSTITUTE(SUBSTITUTE(K4,"×","x"),"·",""),"−","-"),"–","-"),"^","")),"μ","u"),"µ","u")," ",""),"k1=",""),"k2=",""),"k3=",""),"kd=",""),"ka=",""),"k=",""),"°c",""),"m-1",""),"um",""),"mm",""))</f>
        <v/>
      </c>
      <c r="AM4">
        <f>TRIM(SUBSTITUTE(SUBSTITUTE(SUBSTITUTE(SUBSTITUTE(SUBSTITUTE(SUBSTITUTE(SUBSTITUTE(SUBSTITUTE(SUBSTITUTE(SUBSTITUTE(SUBSTITUTE(SUBSTITUTE(SUBSTITUTE(LOWER(SUBSTITUTE(SUBSTITUTE(SUBSTITUTE(SUBSTITUTE(SUBSTITUTE(L4,"×","x"),"·",""),"−","-"),"–","-"),"^","")),"μ","u"),"µ","u")," ",""),"k1=",""),"k2=",""),"k3=",""),"kd=",""),"ka=",""),"k=",""),"°c",""),"m-1",""),"um",""),"mm",""))</f>
        <v/>
      </c>
      <c r="AN4">
        <f>TRIM(SUBSTITUTE(SUBSTITUTE(SUBSTITUTE(SUBSTITUTE(SUBSTITUTE(SUBSTITUTE(SUBSTITUTE(SUBSTITUTE(SUBSTITUTE(SUBSTITUTE(SUBSTITUTE(SUBSTITUTE(SUBSTITUTE(LOWER(SUBSTITUTE(SUBSTITUTE(SUBSTITUTE(SUBSTITUTE(SUBSTITUTE(M4,"×","x"),"·",""),"−","-"),"–","-"),"^","")),"μ","u"),"µ","u")," ",""),"k1=",""),"k2=",""),"k3=",""),"kd=",""),"ka=",""),"k=",""),"°c",""),"m-1",""),"um",""),"mm",""))</f>
        <v/>
      </c>
      <c r="AO4">
        <f>TRIM(SUBSTITUTE(SUBSTITUTE(SUBSTITUTE(SUBSTITUTE(SUBSTITUTE(SUBSTITUTE(SUBSTITUTE(SUBSTITUTE(SUBSTITUTE(SUBSTITUTE(SUBSTITUTE(SUBSTITUTE(SUBSTITUTE(LOWER(SUBSTITUTE(SUBSTITUTE(SUBSTITUTE(SUBSTITUTE(SUBSTITUTE(N4,"×","x"),"·",""),"−","-"),"–","-"),"^","")),"μ","u"),"µ","u")," ",""),"k1=",""),"k2=",""),"k3=",""),"kd=",""),"ka=",""),"k=",""),"°c",""),"m-1",""),"um",""),"mm",""))</f>
        <v/>
      </c>
      <c r="AP4">
        <f>TRIM(SUBSTITUTE(SUBSTITUTE(SUBSTITUTE(SUBSTITUTE(SUBSTITUTE(SUBSTITUTE(SUBSTITUTE(SUBSTITUTE(SUBSTITUTE(SUBSTITUTE(SUBSTITUTE(SUBSTITUTE(SUBSTITUTE(LOWER(SUBSTITUTE(SUBSTITUTE(SUBSTITUTE(SUBSTITUTE(SUBSTITUTE(O4,"×","x"),"·",""),"−","-"),"–","-"),"^","")),"μ","u"),"µ","u")," ",""),"k1=",""),"k2=",""),"k3=",""),"kd=",""),"ka=",""),"k=",""),"°c",""),"m-1",""),"um",""),"mm",""))</f>
        <v/>
      </c>
      <c r="AQ4">
        <f>TRIM(SUBSTITUTE(SUBSTITUTE(SUBSTITUTE(SUBSTITUTE(SUBSTITUTE(SUBSTITUTE(SUBSTITUTE(SUBSTITUTE(SUBSTITUTE(SUBSTITUTE(SUBSTITUTE(SUBSTITUTE(SUBSTITUTE(LOWER(SUBSTITUTE(SUBSTITUTE(SUBSTITUTE(SUBSTITUTE(SUBSTITUTE(P4,"×","x"),"·",""),"−","-"),"–","-"),"^","")),"μ","u"),"µ","u")," ",""),"k1=",""),"k2=",""),"k3=",""),"kd=",""),"ka=",""),"k=",""),"°c",""),"m-1",""),"um",""),"mm",""))</f>
        <v/>
      </c>
    </row>
    <row r="5">
      <c r="A5" s="10" t="n">
        <v>2</v>
      </c>
      <c r="B5" s="11" t="inlineStr">
        <is>
          <t>Bovine</t>
        </is>
      </c>
      <c r="C5" s="11" t="n">
        <v>4</v>
      </c>
      <c r="D5" s="11" t="inlineStr">
        <is>
          <t>TnC</t>
        </is>
      </c>
      <c r="E5" s="11" t="inlineStr">
        <is>
          <t>SC</t>
        </is>
      </c>
      <c r="F5" s="11" t="n">
        <v>4</v>
      </c>
      <c r="G5" s="11" t="inlineStr">
        <is>
          <t>2.5 x 10^5</t>
        </is>
      </c>
      <c r="H5" s="11" t="n">
        <v>4</v>
      </c>
      <c r="J5" s="12" t="n"/>
      <c r="K5" s="12" t="n"/>
      <c r="L5" s="12" t="n"/>
      <c r="M5" s="12" t="n"/>
      <c r="N5" s="12" t="n"/>
      <c r="O5" s="12" t="n"/>
      <c r="P5" s="12" t="n"/>
      <c r="R5" s="13">
        <f>IF(J5="",0,IF(EXACT($AC5,$AK5),1,IF(IFERROR(VALUE($AC5)=VALUE($AK5),FALSE),1,0)))</f>
        <v/>
      </c>
      <c r="S5" s="13">
        <f>IF(K5="",0,IF(EXACT($AD5,$AL5),1,IF(IFERROR(VALUE($AD5)=VALUE($AL5),FALSE),1,0)))</f>
        <v/>
      </c>
      <c r="T5" s="13">
        <f>IF(L5="",0,IF(EXACT($AE5,$AM5),1,IF(IFERROR(VALUE($AE5)=VALUE($AM5),FALSE),1,0)))</f>
        <v/>
      </c>
      <c r="U5" s="13">
        <f>IF(M5="",0,IF(EXACT($AF5,$AN5),1,IF(IFERROR(VALUE($AF5)=VALUE($AN5),FALSE),1,0)))</f>
        <v/>
      </c>
      <c r="V5" s="13">
        <f>IF(N5="",0,IF(EXACT($AG5,$AO5),1,IF(IFERROR(VALUE($AG5)=VALUE($AO5),FALSE),1,0)))</f>
        <v/>
      </c>
      <c r="W5" s="13">
        <f>IF(O5="",0,IF(EXACT($AH5,$AP5),1,IF(IFERROR(VALUE($AH5)=VALUE($AP5),FALSE),1,0)))</f>
        <v/>
      </c>
      <c r="X5" s="13">
        <f>IF(P5="",0,IF(EXACT($AI5,$AQ5),1,IF(IFERROR(VALUE($AI5)=VALUE($AQ5),FALSE),1,0)))</f>
        <v/>
      </c>
      <c r="Y5" s="13">
        <f>SUM(R5:X5)</f>
        <v/>
      </c>
      <c r="Z5" s="14" t="n"/>
      <c r="AA5" s="13">
        <f>IF(Z5="",Y5,Z5)</f>
        <v/>
      </c>
      <c r="AC5">
        <f>TRIM(SUBSTITUTE(SUBSTITUTE(SUBSTITUTE(SUBSTITUTE(SUBSTITUTE(SUBSTITUTE(SUBSTITUTE(SUBSTITUTE(SUBSTITUTE(SUBSTITUTE(SUBSTITUTE(SUBSTITUTE(SUBSTITUTE(LOWER(SUBSTITUTE(SUBSTITUTE(SUBSTITUTE(SUBSTITUTE(SUBSTITUTE(B5,"×","x"),"·",""),"−","-"),"–","-"),"^","")),"μ","u"),"µ","u")," ",""),"k1=",""),"k2=",""),"k3=",""),"kd=",""),"ka=",""),"k=",""),"°c",""),"m-1",""),"um",""),"mm",""))</f>
        <v/>
      </c>
      <c r="AD5">
        <f>TRIM(SUBSTITUTE(SUBSTITUTE(SUBSTITUTE(SUBSTITUTE(SUBSTITUTE(SUBSTITUTE(SUBSTITUTE(SUBSTITUTE(SUBSTITUTE(SUBSTITUTE(SUBSTITUTE(SUBSTITUTE(SUBSTITUTE(LOWER(SUBSTITUTE(SUBSTITUTE(SUBSTITUTE(SUBSTITUTE(SUBSTITUTE(C5,"×","x"),"·",""),"−","-"),"–","-"),"^","")),"μ","u"),"µ","u")," ",""),"k1=",""),"k2=",""),"k3=",""),"kd=",""),"ka=",""),"k=",""),"°c",""),"m-1",""),"um",""),"mm",""))</f>
        <v/>
      </c>
      <c r="AE5">
        <f>TRIM(SUBSTITUTE(SUBSTITUTE(SUBSTITUTE(SUBSTITUTE(SUBSTITUTE(SUBSTITUTE(SUBSTITUTE(SUBSTITUTE(SUBSTITUTE(SUBSTITUTE(SUBSTITUTE(SUBSTITUTE(SUBSTITUTE(LOWER(SUBSTITUTE(SUBSTITUTE(SUBSTITUTE(SUBSTITUTE(SUBSTITUTE(D5,"×","x"),"·",""),"−","-"),"–","-"),"^","")),"μ","u"),"µ","u")," ",""),"k1=",""),"k2=",""),"k3=",""),"kd=",""),"ka=",""),"k=",""),"°c",""),"m-1",""),"um",""),"mm",""))</f>
        <v/>
      </c>
      <c r="AF5">
        <f>TRIM(SUBSTITUTE(SUBSTITUTE(SUBSTITUTE(SUBSTITUTE(SUBSTITUTE(SUBSTITUTE(SUBSTITUTE(SUBSTITUTE(SUBSTITUTE(SUBSTITUTE(SUBSTITUTE(SUBSTITUTE(SUBSTITUTE(LOWER(SUBSTITUTE(SUBSTITUTE(SUBSTITUTE(SUBSTITUTE(SUBSTITUTE(E5,"×","x"),"·",""),"−","-"),"–","-"),"^","")),"μ","u"),"µ","u")," ",""),"k1=",""),"k2=",""),"k3=",""),"kd=",""),"ka=",""),"k=",""),"°c",""),"m-1",""),"um",""),"mm",""))</f>
        <v/>
      </c>
      <c r="AG5">
        <f>TRIM(SUBSTITUTE(SUBSTITUTE(SUBSTITUTE(SUBSTITUTE(SUBSTITUTE(SUBSTITUTE(SUBSTITUTE(SUBSTITUTE(SUBSTITUTE(SUBSTITUTE(SUBSTITUTE(SUBSTITUTE(SUBSTITUTE(LOWER(SUBSTITUTE(SUBSTITUTE(SUBSTITUTE(SUBSTITUTE(SUBSTITUTE(F5,"×","x"),"·",""),"−","-"),"–","-"),"^","")),"μ","u"),"µ","u")," ",""),"k1=",""),"k2=",""),"k3=",""),"kd=",""),"ka=",""),"k=",""),"°c",""),"m-1",""),"um",""),"mm",""))</f>
        <v/>
      </c>
      <c r="AH5">
        <f>TRIM(SUBSTITUTE(SUBSTITUTE(SUBSTITUTE(SUBSTITUTE(SUBSTITUTE(SUBSTITUTE(SUBSTITUTE(SUBSTITUTE(SUBSTITUTE(SUBSTITUTE(SUBSTITUTE(SUBSTITUTE(SUBSTITUTE(LOWER(SUBSTITUTE(SUBSTITUTE(SUBSTITUTE(SUBSTITUTE(SUBSTITUTE(G5,"×","x"),"·",""),"−","-"),"–","-"),"^","")),"μ","u"),"µ","u")," ",""),"k1=",""),"k2=",""),"k3=",""),"kd=",""),"ka=",""),"k=",""),"°c",""),"m-1",""),"um",""),"mm",""))</f>
        <v/>
      </c>
      <c r="AI5">
        <f>TRIM(SUBSTITUTE(SUBSTITUTE(SUBSTITUTE(SUBSTITUTE(SUBSTITUTE(SUBSTITUTE(SUBSTITUTE(SUBSTITUTE(SUBSTITUTE(SUBSTITUTE(SUBSTITUTE(SUBSTITUTE(SUBSTITUTE(LOWER(SUBSTITUTE(SUBSTITUTE(SUBSTITUTE(SUBSTITUTE(SUBSTITUTE(H5,"×","x"),"·",""),"−","-"),"–","-"),"^","")),"μ","u"),"µ","u")," ",""),"k1=",""),"k2=",""),"k3=",""),"kd=",""),"ka=",""),"k=",""),"°c",""),"m-1",""),"um",""),"mm",""))</f>
        <v/>
      </c>
      <c r="AK5">
        <f>TRIM(SUBSTITUTE(SUBSTITUTE(SUBSTITUTE(SUBSTITUTE(SUBSTITUTE(SUBSTITUTE(SUBSTITUTE(SUBSTITUTE(SUBSTITUTE(SUBSTITUTE(SUBSTITUTE(SUBSTITUTE(SUBSTITUTE(LOWER(SUBSTITUTE(SUBSTITUTE(SUBSTITUTE(SUBSTITUTE(SUBSTITUTE(J5,"×","x"),"·",""),"−","-"),"–","-"),"^","")),"μ","u"),"µ","u")," ",""),"k1=",""),"k2=",""),"k3=",""),"kd=",""),"ka=",""),"k=",""),"°c",""),"m-1",""),"um",""),"mm",""))</f>
        <v/>
      </c>
      <c r="AL5">
        <f>TRIM(SUBSTITUTE(SUBSTITUTE(SUBSTITUTE(SUBSTITUTE(SUBSTITUTE(SUBSTITUTE(SUBSTITUTE(SUBSTITUTE(SUBSTITUTE(SUBSTITUTE(SUBSTITUTE(SUBSTITUTE(SUBSTITUTE(LOWER(SUBSTITUTE(SUBSTITUTE(SUBSTITUTE(SUBSTITUTE(SUBSTITUTE(K5,"×","x"),"·",""),"−","-"),"–","-"),"^","")),"μ","u"),"µ","u")," ",""),"k1=",""),"k2=",""),"k3=",""),"kd=",""),"ka=",""),"k=",""),"°c",""),"m-1",""),"um",""),"mm",""))</f>
        <v/>
      </c>
      <c r="AM5">
        <f>TRIM(SUBSTITUTE(SUBSTITUTE(SUBSTITUTE(SUBSTITUTE(SUBSTITUTE(SUBSTITUTE(SUBSTITUTE(SUBSTITUTE(SUBSTITUTE(SUBSTITUTE(SUBSTITUTE(SUBSTITUTE(SUBSTITUTE(LOWER(SUBSTITUTE(SUBSTITUTE(SUBSTITUTE(SUBSTITUTE(SUBSTITUTE(L5,"×","x"),"·",""),"−","-"),"–","-"),"^","")),"μ","u"),"µ","u")," ",""),"k1=",""),"k2=",""),"k3=",""),"kd=",""),"ka=",""),"k=",""),"°c",""),"m-1",""),"um",""),"mm",""))</f>
        <v/>
      </c>
      <c r="AN5">
        <f>TRIM(SUBSTITUTE(SUBSTITUTE(SUBSTITUTE(SUBSTITUTE(SUBSTITUTE(SUBSTITUTE(SUBSTITUTE(SUBSTITUTE(SUBSTITUTE(SUBSTITUTE(SUBSTITUTE(SUBSTITUTE(SUBSTITUTE(LOWER(SUBSTITUTE(SUBSTITUTE(SUBSTITUTE(SUBSTITUTE(SUBSTITUTE(M5,"×","x"),"·",""),"−","-"),"–","-"),"^","")),"μ","u"),"µ","u")," ",""),"k1=",""),"k2=",""),"k3=",""),"kd=",""),"ka=",""),"k=",""),"°c",""),"m-1",""),"um",""),"mm",""))</f>
        <v/>
      </c>
      <c r="AO5">
        <f>TRIM(SUBSTITUTE(SUBSTITUTE(SUBSTITUTE(SUBSTITUTE(SUBSTITUTE(SUBSTITUTE(SUBSTITUTE(SUBSTITUTE(SUBSTITUTE(SUBSTITUTE(SUBSTITUTE(SUBSTITUTE(SUBSTITUTE(LOWER(SUBSTITUTE(SUBSTITUTE(SUBSTITUTE(SUBSTITUTE(SUBSTITUTE(N5,"×","x"),"·",""),"−","-"),"–","-"),"^","")),"μ","u"),"µ","u")," ",""),"k1=",""),"k2=",""),"k3=",""),"kd=",""),"ka=",""),"k=",""),"°c",""),"m-1",""),"um",""),"mm",""))</f>
        <v/>
      </c>
      <c r="AP5">
        <f>TRIM(SUBSTITUTE(SUBSTITUTE(SUBSTITUTE(SUBSTITUTE(SUBSTITUTE(SUBSTITUTE(SUBSTITUTE(SUBSTITUTE(SUBSTITUTE(SUBSTITUTE(SUBSTITUTE(SUBSTITUTE(SUBSTITUTE(LOWER(SUBSTITUTE(SUBSTITUTE(SUBSTITUTE(SUBSTITUTE(SUBSTITUTE(O5,"×","x"),"·",""),"−","-"),"–","-"),"^","")),"μ","u"),"µ","u")," ",""),"k1=",""),"k2=",""),"k3=",""),"kd=",""),"ka=",""),"k=",""),"°c",""),"m-1",""),"um",""),"mm",""))</f>
        <v/>
      </c>
      <c r="AQ5">
        <f>TRIM(SUBSTITUTE(SUBSTITUTE(SUBSTITUTE(SUBSTITUTE(SUBSTITUTE(SUBSTITUTE(SUBSTITUTE(SUBSTITUTE(SUBSTITUTE(SUBSTITUTE(SUBSTITUTE(SUBSTITUTE(SUBSTITUTE(LOWER(SUBSTITUTE(SUBSTITUTE(SUBSTITUTE(SUBSTITUTE(SUBSTITUTE(P5,"×","x"),"·",""),"−","-"),"–","-"),"^","")),"μ","u"),"µ","u")," ",""),"k1=",""),"k2=",""),"k3=",""),"kd=",""),"ka=",""),"k=",""),"°c",""),"m-1",""),"um",""),"mm",""))</f>
        <v/>
      </c>
    </row>
    <row r="6">
      <c r="A6" s="10" t="n">
        <v>3</v>
      </c>
      <c r="B6" s="11" t="inlineStr">
        <is>
          <t>Bovine</t>
        </is>
      </c>
      <c r="C6" s="11" t="n">
        <v>4</v>
      </c>
      <c r="D6" s="11" t="inlineStr">
        <is>
          <t>TnC-TnI</t>
        </is>
      </c>
      <c r="E6" s="11" t="inlineStr">
        <is>
          <t>SC</t>
        </is>
      </c>
      <c r="F6" s="11" t="n">
        <v>4</v>
      </c>
      <c r="G6" s="11" t="inlineStr">
        <is>
          <t>1 x 10^6</t>
        </is>
      </c>
      <c r="H6" s="11" t="n">
        <v>1</v>
      </c>
      <c r="J6" s="12" t="n"/>
      <c r="K6" s="12" t="n"/>
      <c r="L6" s="12" t="n"/>
      <c r="M6" s="12" t="n"/>
      <c r="N6" s="12" t="n"/>
      <c r="O6" s="12" t="n"/>
      <c r="P6" s="12" t="n"/>
      <c r="R6" s="13">
        <f>IF(J6="",0,IF(EXACT($AC6,$AK6),1,IF(IFERROR(VALUE($AC6)=VALUE($AK6),FALSE),1,0)))</f>
        <v/>
      </c>
      <c r="S6" s="13">
        <f>IF(K6="",0,IF(EXACT($AD6,$AL6),1,IF(IFERROR(VALUE($AD6)=VALUE($AL6),FALSE),1,0)))</f>
        <v/>
      </c>
      <c r="T6" s="13">
        <f>IF(L6="",0,IF(EXACT($AE6,$AM6),1,IF(IFERROR(VALUE($AE6)=VALUE($AM6),FALSE),1,0)))</f>
        <v/>
      </c>
      <c r="U6" s="13">
        <f>IF(M6="",0,IF(EXACT($AF6,$AN6),1,IF(IFERROR(VALUE($AF6)=VALUE($AN6),FALSE),1,0)))</f>
        <v/>
      </c>
      <c r="V6" s="13">
        <f>IF(N6="",0,IF(EXACT($AG6,$AO6),1,IF(IFERROR(VALUE($AG6)=VALUE($AO6),FALSE),1,0)))</f>
        <v/>
      </c>
      <c r="W6" s="13">
        <f>IF(O6="",0,IF(EXACT($AH6,$AP6),1,IF(IFERROR(VALUE($AH6)=VALUE($AP6),FALSE),1,0)))</f>
        <v/>
      </c>
      <c r="X6" s="13">
        <f>IF(P6="",0,IF(EXACT($AI6,$AQ6),1,IF(IFERROR(VALUE($AI6)=VALUE($AQ6),FALSE),1,0)))</f>
        <v/>
      </c>
      <c r="Y6" s="13">
        <f>SUM(R6:X6)</f>
        <v/>
      </c>
      <c r="Z6" s="14" t="n"/>
      <c r="AA6" s="13">
        <f>IF(Z6="",Y6,Z6)</f>
        <v/>
      </c>
      <c r="AC6">
        <f>TRIM(SUBSTITUTE(SUBSTITUTE(SUBSTITUTE(SUBSTITUTE(SUBSTITUTE(SUBSTITUTE(SUBSTITUTE(SUBSTITUTE(SUBSTITUTE(SUBSTITUTE(SUBSTITUTE(SUBSTITUTE(SUBSTITUTE(LOWER(SUBSTITUTE(SUBSTITUTE(SUBSTITUTE(SUBSTITUTE(SUBSTITUTE(B6,"×","x"),"·",""),"−","-"),"–","-"),"^","")),"μ","u"),"µ","u")," ",""),"k1=",""),"k2=",""),"k3=",""),"kd=",""),"ka=",""),"k=",""),"°c",""),"m-1",""),"um",""),"mm",""))</f>
        <v/>
      </c>
      <c r="AD6">
        <f>TRIM(SUBSTITUTE(SUBSTITUTE(SUBSTITUTE(SUBSTITUTE(SUBSTITUTE(SUBSTITUTE(SUBSTITUTE(SUBSTITUTE(SUBSTITUTE(SUBSTITUTE(SUBSTITUTE(SUBSTITUTE(SUBSTITUTE(LOWER(SUBSTITUTE(SUBSTITUTE(SUBSTITUTE(SUBSTITUTE(SUBSTITUTE(C6,"×","x"),"·",""),"−","-"),"–","-"),"^","")),"μ","u"),"µ","u")," ",""),"k1=",""),"k2=",""),"k3=",""),"kd=",""),"ka=",""),"k=",""),"°c",""),"m-1",""),"um",""),"mm",""))</f>
        <v/>
      </c>
      <c r="AE6">
        <f>TRIM(SUBSTITUTE(SUBSTITUTE(SUBSTITUTE(SUBSTITUTE(SUBSTITUTE(SUBSTITUTE(SUBSTITUTE(SUBSTITUTE(SUBSTITUTE(SUBSTITUTE(SUBSTITUTE(SUBSTITUTE(SUBSTITUTE(LOWER(SUBSTITUTE(SUBSTITUTE(SUBSTITUTE(SUBSTITUTE(SUBSTITUTE(D6,"×","x"),"·",""),"−","-"),"–","-"),"^","")),"μ","u"),"µ","u")," ",""),"k1=",""),"k2=",""),"k3=",""),"kd=",""),"ka=",""),"k=",""),"°c",""),"m-1",""),"um",""),"mm",""))</f>
        <v/>
      </c>
      <c r="AF6">
        <f>TRIM(SUBSTITUTE(SUBSTITUTE(SUBSTITUTE(SUBSTITUTE(SUBSTITUTE(SUBSTITUTE(SUBSTITUTE(SUBSTITUTE(SUBSTITUTE(SUBSTITUTE(SUBSTITUTE(SUBSTITUTE(SUBSTITUTE(LOWER(SUBSTITUTE(SUBSTITUTE(SUBSTITUTE(SUBSTITUTE(SUBSTITUTE(E6,"×","x"),"·",""),"−","-"),"–","-"),"^","")),"μ","u"),"µ","u")," ",""),"k1=",""),"k2=",""),"k3=",""),"kd=",""),"ka=",""),"k=",""),"°c",""),"m-1",""),"um",""),"mm",""))</f>
        <v/>
      </c>
      <c r="AG6">
        <f>TRIM(SUBSTITUTE(SUBSTITUTE(SUBSTITUTE(SUBSTITUTE(SUBSTITUTE(SUBSTITUTE(SUBSTITUTE(SUBSTITUTE(SUBSTITUTE(SUBSTITUTE(SUBSTITUTE(SUBSTITUTE(SUBSTITUTE(LOWER(SUBSTITUTE(SUBSTITUTE(SUBSTITUTE(SUBSTITUTE(SUBSTITUTE(F6,"×","x"),"·",""),"−","-"),"–","-"),"^","")),"μ","u"),"µ","u")," ",""),"k1=",""),"k2=",""),"k3=",""),"kd=",""),"ka=",""),"k=",""),"°c",""),"m-1",""),"um",""),"mm",""))</f>
        <v/>
      </c>
      <c r="AH6">
        <f>TRIM(SUBSTITUTE(SUBSTITUTE(SUBSTITUTE(SUBSTITUTE(SUBSTITUTE(SUBSTITUTE(SUBSTITUTE(SUBSTITUTE(SUBSTITUTE(SUBSTITUTE(SUBSTITUTE(SUBSTITUTE(SUBSTITUTE(LOWER(SUBSTITUTE(SUBSTITUTE(SUBSTITUTE(SUBSTITUTE(SUBSTITUTE(G6,"×","x"),"·",""),"−","-"),"–","-"),"^","")),"μ","u"),"µ","u")," ",""),"k1=",""),"k2=",""),"k3=",""),"kd=",""),"ka=",""),"k=",""),"°c",""),"m-1",""),"um",""),"mm",""))</f>
        <v/>
      </c>
      <c r="AI6">
        <f>TRIM(SUBSTITUTE(SUBSTITUTE(SUBSTITUTE(SUBSTITUTE(SUBSTITUTE(SUBSTITUTE(SUBSTITUTE(SUBSTITUTE(SUBSTITUTE(SUBSTITUTE(SUBSTITUTE(SUBSTITUTE(SUBSTITUTE(LOWER(SUBSTITUTE(SUBSTITUTE(SUBSTITUTE(SUBSTITUTE(SUBSTITUTE(H6,"×","x"),"·",""),"−","-"),"–","-"),"^","")),"μ","u"),"µ","u")," ",""),"k1=",""),"k2=",""),"k3=",""),"kd=",""),"ka=",""),"k=",""),"°c",""),"m-1",""),"um",""),"mm",""))</f>
        <v/>
      </c>
      <c r="AK6">
        <f>TRIM(SUBSTITUTE(SUBSTITUTE(SUBSTITUTE(SUBSTITUTE(SUBSTITUTE(SUBSTITUTE(SUBSTITUTE(SUBSTITUTE(SUBSTITUTE(SUBSTITUTE(SUBSTITUTE(SUBSTITUTE(SUBSTITUTE(LOWER(SUBSTITUTE(SUBSTITUTE(SUBSTITUTE(SUBSTITUTE(SUBSTITUTE(J6,"×","x"),"·",""),"−","-"),"–","-"),"^","")),"μ","u"),"µ","u")," ",""),"k1=",""),"k2=",""),"k3=",""),"kd=",""),"ka=",""),"k=",""),"°c",""),"m-1",""),"um",""),"mm",""))</f>
        <v/>
      </c>
      <c r="AL6">
        <f>TRIM(SUBSTITUTE(SUBSTITUTE(SUBSTITUTE(SUBSTITUTE(SUBSTITUTE(SUBSTITUTE(SUBSTITUTE(SUBSTITUTE(SUBSTITUTE(SUBSTITUTE(SUBSTITUTE(SUBSTITUTE(SUBSTITUTE(LOWER(SUBSTITUTE(SUBSTITUTE(SUBSTITUTE(SUBSTITUTE(SUBSTITUTE(K6,"×","x"),"·",""),"−","-"),"–","-"),"^","")),"μ","u"),"µ","u")," ",""),"k1=",""),"k2=",""),"k3=",""),"kd=",""),"ka=",""),"k=",""),"°c",""),"m-1",""),"um",""),"mm",""))</f>
        <v/>
      </c>
      <c r="AM6">
        <f>TRIM(SUBSTITUTE(SUBSTITUTE(SUBSTITUTE(SUBSTITUTE(SUBSTITUTE(SUBSTITUTE(SUBSTITUTE(SUBSTITUTE(SUBSTITUTE(SUBSTITUTE(SUBSTITUTE(SUBSTITUTE(SUBSTITUTE(LOWER(SUBSTITUTE(SUBSTITUTE(SUBSTITUTE(SUBSTITUTE(SUBSTITUTE(L6,"×","x"),"·",""),"−","-"),"–","-"),"^","")),"μ","u"),"µ","u")," ",""),"k1=",""),"k2=",""),"k3=",""),"kd=",""),"ka=",""),"k=",""),"°c",""),"m-1",""),"um",""),"mm",""))</f>
        <v/>
      </c>
      <c r="AN6">
        <f>TRIM(SUBSTITUTE(SUBSTITUTE(SUBSTITUTE(SUBSTITUTE(SUBSTITUTE(SUBSTITUTE(SUBSTITUTE(SUBSTITUTE(SUBSTITUTE(SUBSTITUTE(SUBSTITUTE(SUBSTITUTE(SUBSTITUTE(LOWER(SUBSTITUTE(SUBSTITUTE(SUBSTITUTE(SUBSTITUTE(SUBSTITUTE(M6,"×","x"),"·",""),"−","-"),"–","-"),"^","")),"μ","u"),"µ","u")," ",""),"k1=",""),"k2=",""),"k3=",""),"kd=",""),"ka=",""),"k=",""),"°c",""),"m-1",""),"um",""),"mm",""))</f>
        <v/>
      </c>
      <c r="AO6">
        <f>TRIM(SUBSTITUTE(SUBSTITUTE(SUBSTITUTE(SUBSTITUTE(SUBSTITUTE(SUBSTITUTE(SUBSTITUTE(SUBSTITUTE(SUBSTITUTE(SUBSTITUTE(SUBSTITUTE(SUBSTITUTE(SUBSTITUTE(LOWER(SUBSTITUTE(SUBSTITUTE(SUBSTITUTE(SUBSTITUTE(SUBSTITUTE(N6,"×","x"),"·",""),"−","-"),"–","-"),"^","")),"μ","u"),"µ","u")," ",""),"k1=",""),"k2=",""),"k3=",""),"kd=",""),"ka=",""),"k=",""),"°c",""),"m-1",""),"um",""),"mm",""))</f>
        <v/>
      </c>
      <c r="AP6">
        <f>TRIM(SUBSTITUTE(SUBSTITUTE(SUBSTITUTE(SUBSTITUTE(SUBSTITUTE(SUBSTITUTE(SUBSTITUTE(SUBSTITUTE(SUBSTITUTE(SUBSTITUTE(SUBSTITUTE(SUBSTITUTE(SUBSTITUTE(LOWER(SUBSTITUTE(SUBSTITUTE(SUBSTITUTE(SUBSTITUTE(SUBSTITUTE(O6,"×","x"),"·",""),"−","-"),"–","-"),"^","")),"μ","u"),"µ","u")," ",""),"k1=",""),"k2=",""),"k3=",""),"kd=",""),"ka=",""),"k=",""),"°c",""),"m-1",""),"um",""),"mm",""))</f>
        <v/>
      </c>
      <c r="AQ6">
        <f>TRIM(SUBSTITUTE(SUBSTITUTE(SUBSTITUTE(SUBSTITUTE(SUBSTITUTE(SUBSTITUTE(SUBSTITUTE(SUBSTITUTE(SUBSTITUTE(SUBSTITUTE(SUBSTITUTE(SUBSTITUTE(SUBSTITUTE(LOWER(SUBSTITUTE(SUBSTITUTE(SUBSTITUTE(SUBSTITUTE(SUBSTITUTE(P6,"×","x"),"·",""),"−","-"),"–","-"),"^","")),"μ","u"),"µ","u")," ",""),"k1=",""),"k2=",""),"k3=",""),"kd=",""),"ka=",""),"k=",""),"°c",""),"m-1",""),"um",""),"mm",""))</f>
        <v/>
      </c>
    </row>
    <row r="7">
      <c r="A7" s="10" t="n">
        <v>4</v>
      </c>
      <c r="B7" s="11" t="inlineStr">
        <is>
          <t>Bovine</t>
        </is>
      </c>
      <c r="C7" s="11" t="n">
        <v>4</v>
      </c>
      <c r="D7" s="11" t="inlineStr">
        <is>
          <t>TnC-TnI</t>
        </is>
      </c>
      <c r="E7" s="11" t="inlineStr">
        <is>
          <t>SC</t>
        </is>
      </c>
      <c r="F7" s="11" t="inlineStr">
        <is>
          <t>None</t>
        </is>
      </c>
      <c r="G7" s="11" t="inlineStr">
        <is>
          <t>1 x 10^6</t>
        </is>
      </c>
      <c r="H7" s="11" t="n">
        <v>1</v>
      </c>
      <c r="J7" s="12" t="n"/>
      <c r="K7" s="12" t="n"/>
      <c r="L7" s="12" t="n"/>
      <c r="M7" s="12" t="n"/>
      <c r="N7" s="12" t="n"/>
      <c r="O7" s="12" t="n"/>
      <c r="P7" s="12" t="n"/>
      <c r="R7" s="13">
        <f>IF(J7="",0,IF(EXACT($AC7,$AK7),1,IF(IFERROR(VALUE($AC7)=VALUE($AK7),FALSE),1,0)))</f>
        <v/>
      </c>
      <c r="S7" s="13">
        <f>IF(K7="",0,IF(EXACT($AD7,$AL7),1,IF(IFERROR(VALUE($AD7)=VALUE($AL7),FALSE),1,0)))</f>
        <v/>
      </c>
      <c r="T7" s="13">
        <f>IF(L7="",0,IF(EXACT($AE7,$AM7),1,IF(IFERROR(VALUE($AE7)=VALUE($AM7),FALSE),1,0)))</f>
        <v/>
      </c>
      <c r="U7" s="13">
        <f>IF(M7="",0,IF(EXACT($AF7,$AN7),1,IF(IFERROR(VALUE($AF7)=VALUE($AN7),FALSE),1,0)))</f>
        <v/>
      </c>
      <c r="V7" s="13">
        <f>IF(N7="",0,IF(EXACT($AG7,$AO7),1,IF(IFERROR(VALUE($AG7)=VALUE($AO7),FALSE),1,0)))</f>
        <v/>
      </c>
      <c r="W7" s="13">
        <f>IF(O7="",0,IF(EXACT($AH7,$AP7),1,IF(IFERROR(VALUE($AH7)=VALUE($AP7),FALSE),1,0)))</f>
        <v/>
      </c>
      <c r="X7" s="13">
        <f>IF(P7="",0,IF(EXACT($AI7,$AQ7),1,IF(IFERROR(VALUE($AI7)=VALUE($AQ7),FALSE),1,0)))</f>
        <v/>
      </c>
      <c r="Y7" s="13">
        <f>SUM(R7:X7)</f>
        <v/>
      </c>
      <c r="Z7" s="14" t="n"/>
      <c r="AA7" s="13">
        <f>IF(Z7="",Y7,Z7)</f>
        <v/>
      </c>
      <c r="AC7">
        <f>TRIM(SUBSTITUTE(SUBSTITUTE(SUBSTITUTE(SUBSTITUTE(SUBSTITUTE(SUBSTITUTE(SUBSTITUTE(SUBSTITUTE(SUBSTITUTE(SUBSTITUTE(SUBSTITUTE(SUBSTITUTE(SUBSTITUTE(LOWER(SUBSTITUTE(SUBSTITUTE(SUBSTITUTE(SUBSTITUTE(SUBSTITUTE(B7,"×","x"),"·",""),"−","-"),"–","-"),"^","")),"μ","u"),"µ","u")," ",""),"k1=",""),"k2=",""),"k3=",""),"kd=",""),"ka=",""),"k=",""),"°c",""),"m-1",""),"um",""),"mm",""))</f>
        <v/>
      </c>
      <c r="AD7">
        <f>TRIM(SUBSTITUTE(SUBSTITUTE(SUBSTITUTE(SUBSTITUTE(SUBSTITUTE(SUBSTITUTE(SUBSTITUTE(SUBSTITUTE(SUBSTITUTE(SUBSTITUTE(SUBSTITUTE(SUBSTITUTE(SUBSTITUTE(LOWER(SUBSTITUTE(SUBSTITUTE(SUBSTITUTE(SUBSTITUTE(SUBSTITUTE(C7,"×","x"),"·",""),"−","-"),"–","-"),"^","")),"μ","u"),"µ","u")," ",""),"k1=",""),"k2=",""),"k3=",""),"kd=",""),"ka=",""),"k=",""),"°c",""),"m-1",""),"um",""),"mm",""))</f>
        <v/>
      </c>
      <c r="AE7">
        <f>TRIM(SUBSTITUTE(SUBSTITUTE(SUBSTITUTE(SUBSTITUTE(SUBSTITUTE(SUBSTITUTE(SUBSTITUTE(SUBSTITUTE(SUBSTITUTE(SUBSTITUTE(SUBSTITUTE(SUBSTITUTE(SUBSTITUTE(LOWER(SUBSTITUTE(SUBSTITUTE(SUBSTITUTE(SUBSTITUTE(SUBSTITUTE(D7,"×","x"),"·",""),"−","-"),"–","-"),"^","")),"μ","u"),"µ","u")," ",""),"k1=",""),"k2=",""),"k3=",""),"kd=",""),"ka=",""),"k=",""),"°c",""),"m-1",""),"um",""),"mm",""))</f>
        <v/>
      </c>
      <c r="AF7">
        <f>TRIM(SUBSTITUTE(SUBSTITUTE(SUBSTITUTE(SUBSTITUTE(SUBSTITUTE(SUBSTITUTE(SUBSTITUTE(SUBSTITUTE(SUBSTITUTE(SUBSTITUTE(SUBSTITUTE(SUBSTITUTE(SUBSTITUTE(LOWER(SUBSTITUTE(SUBSTITUTE(SUBSTITUTE(SUBSTITUTE(SUBSTITUTE(E7,"×","x"),"·",""),"−","-"),"–","-"),"^","")),"μ","u"),"µ","u")," ",""),"k1=",""),"k2=",""),"k3=",""),"kd=",""),"ka=",""),"k=",""),"°c",""),"m-1",""),"um",""),"mm",""))</f>
        <v/>
      </c>
      <c r="AG7">
        <f>TRIM(SUBSTITUTE(SUBSTITUTE(SUBSTITUTE(SUBSTITUTE(SUBSTITUTE(SUBSTITUTE(SUBSTITUTE(SUBSTITUTE(SUBSTITUTE(SUBSTITUTE(SUBSTITUTE(SUBSTITUTE(SUBSTITUTE(LOWER(SUBSTITUTE(SUBSTITUTE(SUBSTITUTE(SUBSTITUTE(SUBSTITUTE(F7,"×","x"),"·",""),"−","-"),"–","-"),"^","")),"μ","u"),"µ","u")," ",""),"k1=",""),"k2=",""),"k3=",""),"kd=",""),"ka=",""),"k=",""),"°c",""),"m-1",""),"um",""),"mm",""))</f>
        <v/>
      </c>
      <c r="AH7">
        <f>TRIM(SUBSTITUTE(SUBSTITUTE(SUBSTITUTE(SUBSTITUTE(SUBSTITUTE(SUBSTITUTE(SUBSTITUTE(SUBSTITUTE(SUBSTITUTE(SUBSTITUTE(SUBSTITUTE(SUBSTITUTE(SUBSTITUTE(LOWER(SUBSTITUTE(SUBSTITUTE(SUBSTITUTE(SUBSTITUTE(SUBSTITUTE(G7,"×","x"),"·",""),"−","-"),"–","-"),"^","")),"μ","u"),"µ","u")," ",""),"k1=",""),"k2=",""),"k3=",""),"kd=",""),"ka=",""),"k=",""),"°c",""),"m-1",""),"um",""),"mm",""))</f>
        <v/>
      </c>
      <c r="AI7">
        <f>TRIM(SUBSTITUTE(SUBSTITUTE(SUBSTITUTE(SUBSTITUTE(SUBSTITUTE(SUBSTITUTE(SUBSTITUTE(SUBSTITUTE(SUBSTITUTE(SUBSTITUTE(SUBSTITUTE(SUBSTITUTE(SUBSTITUTE(LOWER(SUBSTITUTE(SUBSTITUTE(SUBSTITUTE(SUBSTITUTE(SUBSTITUTE(H7,"×","x"),"·",""),"−","-"),"–","-"),"^","")),"μ","u"),"µ","u")," ",""),"k1=",""),"k2=",""),"k3=",""),"kd=",""),"ka=",""),"k=",""),"°c",""),"m-1",""),"um",""),"mm",""))</f>
        <v/>
      </c>
      <c r="AK7">
        <f>TRIM(SUBSTITUTE(SUBSTITUTE(SUBSTITUTE(SUBSTITUTE(SUBSTITUTE(SUBSTITUTE(SUBSTITUTE(SUBSTITUTE(SUBSTITUTE(SUBSTITUTE(SUBSTITUTE(SUBSTITUTE(SUBSTITUTE(LOWER(SUBSTITUTE(SUBSTITUTE(SUBSTITUTE(SUBSTITUTE(SUBSTITUTE(J7,"×","x"),"·",""),"−","-"),"–","-"),"^","")),"μ","u"),"µ","u")," ",""),"k1=",""),"k2=",""),"k3=",""),"kd=",""),"ka=",""),"k=",""),"°c",""),"m-1",""),"um",""),"mm",""))</f>
        <v/>
      </c>
      <c r="AL7">
        <f>TRIM(SUBSTITUTE(SUBSTITUTE(SUBSTITUTE(SUBSTITUTE(SUBSTITUTE(SUBSTITUTE(SUBSTITUTE(SUBSTITUTE(SUBSTITUTE(SUBSTITUTE(SUBSTITUTE(SUBSTITUTE(SUBSTITUTE(LOWER(SUBSTITUTE(SUBSTITUTE(SUBSTITUTE(SUBSTITUTE(SUBSTITUTE(K7,"×","x"),"·",""),"−","-"),"–","-"),"^","")),"μ","u"),"µ","u")," ",""),"k1=",""),"k2=",""),"k3=",""),"kd=",""),"ka=",""),"k=",""),"°c",""),"m-1",""),"um",""),"mm",""))</f>
        <v/>
      </c>
      <c r="AM7">
        <f>TRIM(SUBSTITUTE(SUBSTITUTE(SUBSTITUTE(SUBSTITUTE(SUBSTITUTE(SUBSTITUTE(SUBSTITUTE(SUBSTITUTE(SUBSTITUTE(SUBSTITUTE(SUBSTITUTE(SUBSTITUTE(SUBSTITUTE(LOWER(SUBSTITUTE(SUBSTITUTE(SUBSTITUTE(SUBSTITUTE(SUBSTITUTE(L7,"×","x"),"·",""),"−","-"),"–","-"),"^","")),"μ","u"),"µ","u")," ",""),"k1=",""),"k2=",""),"k3=",""),"kd=",""),"ka=",""),"k=",""),"°c",""),"m-1",""),"um",""),"mm",""))</f>
        <v/>
      </c>
      <c r="AN7">
        <f>TRIM(SUBSTITUTE(SUBSTITUTE(SUBSTITUTE(SUBSTITUTE(SUBSTITUTE(SUBSTITUTE(SUBSTITUTE(SUBSTITUTE(SUBSTITUTE(SUBSTITUTE(SUBSTITUTE(SUBSTITUTE(SUBSTITUTE(LOWER(SUBSTITUTE(SUBSTITUTE(SUBSTITUTE(SUBSTITUTE(SUBSTITUTE(M7,"×","x"),"·",""),"−","-"),"–","-"),"^","")),"μ","u"),"µ","u")," ",""),"k1=",""),"k2=",""),"k3=",""),"kd=",""),"ka=",""),"k=",""),"°c",""),"m-1",""),"um",""),"mm",""))</f>
        <v/>
      </c>
      <c r="AO7">
        <f>TRIM(SUBSTITUTE(SUBSTITUTE(SUBSTITUTE(SUBSTITUTE(SUBSTITUTE(SUBSTITUTE(SUBSTITUTE(SUBSTITUTE(SUBSTITUTE(SUBSTITUTE(SUBSTITUTE(SUBSTITUTE(SUBSTITUTE(LOWER(SUBSTITUTE(SUBSTITUTE(SUBSTITUTE(SUBSTITUTE(SUBSTITUTE(N7,"×","x"),"·",""),"−","-"),"–","-"),"^","")),"μ","u"),"µ","u")," ",""),"k1=",""),"k2=",""),"k3=",""),"kd=",""),"ka=",""),"k=",""),"°c",""),"m-1",""),"um",""),"mm",""))</f>
        <v/>
      </c>
      <c r="AP7">
        <f>TRIM(SUBSTITUTE(SUBSTITUTE(SUBSTITUTE(SUBSTITUTE(SUBSTITUTE(SUBSTITUTE(SUBSTITUTE(SUBSTITUTE(SUBSTITUTE(SUBSTITUTE(SUBSTITUTE(SUBSTITUTE(SUBSTITUTE(LOWER(SUBSTITUTE(SUBSTITUTE(SUBSTITUTE(SUBSTITUTE(SUBSTITUTE(O7,"×","x"),"·",""),"−","-"),"–","-"),"^","")),"μ","u"),"µ","u")," ",""),"k1=",""),"k2=",""),"k3=",""),"kd=",""),"ka=",""),"k=",""),"°c",""),"m-1",""),"um",""),"mm",""))</f>
        <v/>
      </c>
      <c r="AQ7">
        <f>TRIM(SUBSTITUTE(SUBSTITUTE(SUBSTITUTE(SUBSTITUTE(SUBSTITUTE(SUBSTITUTE(SUBSTITUTE(SUBSTITUTE(SUBSTITUTE(SUBSTITUTE(SUBSTITUTE(SUBSTITUTE(SUBSTITUTE(LOWER(SUBSTITUTE(SUBSTITUTE(SUBSTITUTE(SUBSTITUTE(SUBSTITUTE(P7,"×","x"),"·",""),"−","-"),"–","-"),"^","")),"μ","u"),"µ","u")," ",""),"k1=",""),"k2=",""),"k3=",""),"kd=",""),"ka=",""),"k=",""),"°c",""),"m-1",""),"um",""),"mm",""))</f>
        <v/>
      </c>
    </row>
    <row r="8">
      <c r="A8" s="10" t="n">
        <v>5</v>
      </c>
      <c r="B8" s="11" t="inlineStr">
        <is>
          <t>Bovine</t>
        </is>
      </c>
      <c r="C8" s="11" t="n">
        <v>4</v>
      </c>
      <c r="D8" s="11" t="inlineStr">
        <is>
          <t>Tn</t>
        </is>
      </c>
      <c r="E8" s="11" t="inlineStr">
        <is>
          <t>SC</t>
        </is>
      </c>
      <c r="F8" s="11" t="inlineStr">
        <is>
          <t>None</t>
        </is>
      </c>
      <c r="G8" s="11" t="inlineStr">
        <is>
          <t>2.5 x 10^6</t>
        </is>
      </c>
      <c r="H8" s="11" t="n">
        <v>0.4</v>
      </c>
      <c r="J8" s="12" t="n"/>
      <c r="K8" s="12" t="n"/>
      <c r="L8" s="12" t="n"/>
      <c r="M8" s="12" t="n"/>
      <c r="N8" s="12" t="n"/>
      <c r="O8" s="12" t="n"/>
      <c r="P8" s="12" t="n"/>
      <c r="R8" s="13">
        <f>IF(J8="",0,IF(EXACT($AC8,$AK8),1,IF(IFERROR(VALUE($AC8)=VALUE($AK8),FALSE),1,0)))</f>
        <v/>
      </c>
      <c r="S8" s="13">
        <f>IF(K8="",0,IF(EXACT($AD8,$AL8),1,IF(IFERROR(VALUE($AD8)=VALUE($AL8),FALSE),1,0)))</f>
        <v/>
      </c>
      <c r="T8" s="13">
        <f>IF(L8="",0,IF(EXACT($AE8,$AM8),1,IF(IFERROR(VALUE($AE8)=VALUE($AM8),FALSE),1,0)))</f>
        <v/>
      </c>
      <c r="U8" s="13">
        <f>IF(M8="",0,IF(EXACT($AF8,$AN8),1,IF(IFERROR(VALUE($AF8)=VALUE($AN8),FALSE),1,0)))</f>
        <v/>
      </c>
      <c r="V8" s="13">
        <f>IF(N8="",0,IF(EXACT($AG8,$AO8),1,IF(IFERROR(VALUE($AG8)=VALUE($AO8),FALSE),1,0)))</f>
        <v/>
      </c>
      <c r="W8" s="13">
        <f>IF(O8="",0,IF(EXACT($AH8,$AP8),1,IF(IFERROR(VALUE($AH8)=VALUE($AP8),FALSE),1,0)))</f>
        <v/>
      </c>
      <c r="X8" s="13">
        <f>IF(P8="",0,IF(EXACT($AI8,$AQ8),1,IF(IFERROR(VALUE($AI8)=VALUE($AQ8),FALSE),1,0)))</f>
        <v/>
      </c>
      <c r="Y8" s="13">
        <f>SUM(R8:X8)</f>
        <v/>
      </c>
      <c r="Z8" s="14" t="n"/>
      <c r="AA8" s="13">
        <f>IF(Z8="",Y8,Z8)</f>
        <v/>
      </c>
      <c r="AC8">
        <f>TRIM(SUBSTITUTE(SUBSTITUTE(SUBSTITUTE(SUBSTITUTE(SUBSTITUTE(SUBSTITUTE(SUBSTITUTE(SUBSTITUTE(SUBSTITUTE(SUBSTITUTE(SUBSTITUTE(SUBSTITUTE(SUBSTITUTE(LOWER(SUBSTITUTE(SUBSTITUTE(SUBSTITUTE(SUBSTITUTE(SUBSTITUTE(B8,"×","x"),"·",""),"−","-"),"–","-"),"^","")),"μ","u"),"µ","u")," ",""),"k1=",""),"k2=",""),"k3=",""),"kd=",""),"ka=",""),"k=",""),"°c",""),"m-1",""),"um",""),"mm",""))</f>
        <v/>
      </c>
      <c r="AD8">
        <f>TRIM(SUBSTITUTE(SUBSTITUTE(SUBSTITUTE(SUBSTITUTE(SUBSTITUTE(SUBSTITUTE(SUBSTITUTE(SUBSTITUTE(SUBSTITUTE(SUBSTITUTE(SUBSTITUTE(SUBSTITUTE(SUBSTITUTE(LOWER(SUBSTITUTE(SUBSTITUTE(SUBSTITUTE(SUBSTITUTE(SUBSTITUTE(C8,"×","x"),"·",""),"−","-"),"–","-"),"^","")),"μ","u"),"µ","u")," ",""),"k1=",""),"k2=",""),"k3=",""),"kd=",""),"ka=",""),"k=",""),"°c",""),"m-1",""),"um",""),"mm",""))</f>
        <v/>
      </c>
      <c r="AE8">
        <f>TRIM(SUBSTITUTE(SUBSTITUTE(SUBSTITUTE(SUBSTITUTE(SUBSTITUTE(SUBSTITUTE(SUBSTITUTE(SUBSTITUTE(SUBSTITUTE(SUBSTITUTE(SUBSTITUTE(SUBSTITUTE(SUBSTITUTE(LOWER(SUBSTITUTE(SUBSTITUTE(SUBSTITUTE(SUBSTITUTE(SUBSTITUTE(D8,"×","x"),"·",""),"−","-"),"–","-"),"^","")),"μ","u"),"µ","u")," ",""),"k1=",""),"k2=",""),"k3=",""),"kd=",""),"ka=",""),"k=",""),"°c",""),"m-1",""),"um",""),"mm",""))</f>
        <v/>
      </c>
      <c r="AF8">
        <f>TRIM(SUBSTITUTE(SUBSTITUTE(SUBSTITUTE(SUBSTITUTE(SUBSTITUTE(SUBSTITUTE(SUBSTITUTE(SUBSTITUTE(SUBSTITUTE(SUBSTITUTE(SUBSTITUTE(SUBSTITUTE(SUBSTITUTE(LOWER(SUBSTITUTE(SUBSTITUTE(SUBSTITUTE(SUBSTITUTE(SUBSTITUTE(E8,"×","x"),"·",""),"−","-"),"–","-"),"^","")),"μ","u"),"µ","u")," ",""),"k1=",""),"k2=",""),"k3=",""),"kd=",""),"ka=",""),"k=",""),"°c",""),"m-1",""),"um",""),"mm",""))</f>
        <v/>
      </c>
      <c r="AG8">
        <f>TRIM(SUBSTITUTE(SUBSTITUTE(SUBSTITUTE(SUBSTITUTE(SUBSTITUTE(SUBSTITUTE(SUBSTITUTE(SUBSTITUTE(SUBSTITUTE(SUBSTITUTE(SUBSTITUTE(SUBSTITUTE(SUBSTITUTE(LOWER(SUBSTITUTE(SUBSTITUTE(SUBSTITUTE(SUBSTITUTE(SUBSTITUTE(F8,"×","x"),"·",""),"−","-"),"–","-"),"^","")),"μ","u"),"µ","u")," ",""),"k1=",""),"k2=",""),"k3=",""),"kd=",""),"ka=",""),"k=",""),"°c",""),"m-1",""),"um",""),"mm",""))</f>
        <v/>
      </c>
      <c r="AH8">
        <f>TRIM(SUBSTITUTE(SUBSTITUTE(SUBSTITUTE(SUBSTITUTE(SUBSTITUTE(SUBSTITUTE(SUBSTITUTE(SUBSTITUTE(SUBSTITUTE(SUBSTITUTE(SUBSTITUTE(SUBSTITUTE(SUBSTITUTE(LOWER(SUBSTITUTE(SUBSTITUTE(SUBSTITUTE(SUBSTITUTE(SUBSTITUTE(G8,"×","x"),"·",""),"−","-"),"–","-"),"^","")),"μ","u"),"µ","u")," ",""),"k1=",""),"k2=",""),"k3=",""),"kd=",""),"ka=",""),"k=",""),"°c",""),"m-1",""),"um",""),"mm",""))</f>
        <v/>
      </c>
      <c r="AI8">
        <f>TRIM(SUBSTITUTE(SUBSTITUTE(SUBSTITUTE(SUBSTITUTE(SUBSTITUTE(SUBSTITUTE(SUBSTITUTE(SUBSTITUTE(SUBSTITUTE(SUBSTITUTE(SUBSTITUTE(SUBSTITUTE(SUBSTITUTE(LOWER(SUBSTITUTE(SUBSTITUTE(SUBSTITUTE(SUBSTITUTE(SUBSTITUTE(H8,"×","x"),"·",""),"−","-"),"–","-"),"^","")),"μ","u"),"µ","u")," ",""),"k1=",""),"k2=",""),"k3=",""),"kd=",""),"ka=",""),"k=",""),"°c",""),"m-1",""),"um",""),"mm",""))</f>
        <v/>
      </c>
      <c r="AK8">
        <f>TRIM(SUBSTITUTE(SUBSTITUTE(SUBSTITUTE(SUBSTITUTE(SUBSTITUTE(SUBSTITUTE(SUBSTITUTE(SUBSTITUTE(SUBSTITUTE(SUBSTITUTE(SUBSTITUTE(SUBSTITUTE(SUBSTITUTE(LOWER(SUBSTITUTE(SUBSTITUTE(SUBSTITUTE(SUBSTITUTE(SUBSTITUTE(J8,"×","x"),"·",""),"−","-"),"–","-"),"^","")),"μ","u"),"µ","u")," ",""),"k1=",""),"k2=",""),"k3=",""),"kd=",""),"ka=",""),"k=",""),"°c",""),"m-1",""),"um",""),"mm",""))</f>
        <v/>
      </c>
      <c r="AL8">
        <f>TRIM(SUBSTITUTE(SUBSTITUTE(SUBSTITUTE(SUBSTITUTE(SUBSTITUTE(SUBSTITUTE(SUBSTITUTE(SUBSTITUTE(SUBSTITUTE(SUBSTITUTE(SUBSTITUTE(SUBSTITUTE(SUBSTITUTE(LOWER(SUBSTITUTE(SUBSTITUTE(SUBSTITUTE(SUBSTITUTE(SUBSTITUTE(K8,"×","x"),"·",""),"−","-"),"–","-"),"^","")),"μ","u"),"µ","u")," ",""),"k1=",""),"k2=",""),"k3=",""),"kd=",""),"ka=",""),"k=",""),"°c",""),"m-1",""),"um",""),"mm",""))</f>
        <v/>
      </c>
      <c r="AM8">
        <f>TRIM(SUBSTITUTE(SUBSTITUTE(SUBSTITUTE(SUBSTITUTE(SUBSTITUTE(SUBSTITUTE(SUBSTITUTE(SUBSTITUTE(SUBSTITUTE(SUBSTITUTE(SUBSTITUTE(SUBSTITUTE(SUBSTITUTE(LOWER(SUBSTITUTE(SUBSTITUTE(SUBSTITUTE(SUBSTITUTE(SUBSTITUTE(L8,"×","x"),"·",""),"−","-"),"–","-"),"^","")),"μ","u"),"µ","u")," ",""),"k1=",""),"k2=",""),"k3=",""),"kd=",""),"ka=",""),"k=",""),"°c",""),"m-1",""),"um",""),"mm",""))</f>
        <v/>
      </c>
      <c r="AN8">
        <f>TRIM(SUBSTITUTE(SUBSTITUTE(SUBSTITUTE(SUBSTITUTE(SUBSTITUTE(SUBSTITUTE(SUBSTITUTE(SUBSTITUTE(SUBSTITUTE(SUBSTITUTE(SUBSTITUTE(SUBSTITUTE(SUBSTITUTE(LOWER(SUBSTITUTE(SUBSTITUTE(SUBSTITUTE(SUBSTITUTE(SUBSTITUTE(M8,"×","x"),"·",""),"−","-"),"–","-"),"^","")),"μ","u"),"µ","u")," ",""),"k1=",""),"k2=",""),"k3=",""),"kd=",""),"ka=",""),"k=",""),"°c",""),"m-1",""),"um",""),"mm",""))</f>
        <v/>
      </c>
      <c r="AO8">
        <f>TRIM(SUBSTITUTE(SUBSTITUTE(SUBSTITUTE(SUBSTITUTE(SUBSTITUTE(SUBSTITUTE(SUBSTITUTE(SUBSTITUTE(SUBSTITUTE(SUBSTITUTE(SUBSTITUTE(SUBSTITUTE(SUBSTITUTE(LOWER(SUBSTITUTE(SUBSTITUTE(SUBSTITUTE(SUBSTITUTE(SUBSTITUTE(N8,"×","x"),"·",""),"−","-"),"–","-"),"^","")),"μ","u"),"µ","u")," ",""),"k1=",""),"k2=",""),"k3=",""),"kd=",""),"ka=",""),"k=",""),"°c",""),"m-1",""),"um",""),"mm",""))</f>
        <v/>
      </c>
      <c r="AP8">
        <f>TRIM(SUBSTITUTE(SUBSTITUTE(SUBSTITUTE(SUBSTITUTE(SUBSTITUTE(SUBSTITUTE(SUBSTITUTE(SUBSTITUTE(SUBSTITUTE(SUBSTITUTE(SUBSTITUTE(SUBSTITUTE(SUBSTITUTE(LOWER(SUBSTITUTE(SUBSTITUTE(SUBSTITUTE(SUBSTITUTE(SUBSTITUTE(O8,"×","x"),"·",""),"−","-"),"–","-"),"^","")),"μ","u"),"µ","u")," ",""),"k1=",""),"k2=",""),"k3=",""),"kd=",""),"ka=",""),"k=",""),"°c",""),"m-1",""),"um",""),"mm",""))</f>
        <v/>
      </c>
      <c r="AQ8">
        <f>TRIM(SUBSTITUTE(SUBSTITUTE(SUBSTITUTE(SUBSTITUTE(SUBSTITUTE(SUBSTITUTE(SUBSTITUTE(SUBSTITUTE(SUBSTITUTE(SUBSTITUTE(SUBSTITUTE(SUBSTITUTE(SUBSTITUTE(LOWER(SUBSTITUTE(SUBSTITUTE(SUBSTITUTE(SUBSTITUTE(SUBSTITUTE(P8,"×","x"),"·",""),"−","-"),"–","-"),"^","")),"μ","u"),"µ","u")," ",""),"k1=",""),"k2=",""),"k3=",""),"kd=",""),"ka=",""),"k=",""),"°c",""),"m-1",""),"um",""),"mm",""))</f>
        <v/>
      </c>
    </row>
    <row r="9">
      <c r="A9" s="10" t="n">
        <v>6</v>
      </c>
      <c r="B9" s="11" t="inlineStr">
        <is>
          <t>Bovine</t>
        </is>
      </c>
      <c r="C9" s="11" t="n">
        <v>4</v>
      </c>
      <c r="D9" s="11" t="inlineStr">
        <is>
          <t>Tn</t>
        </is>
      </c>
      <c r="E9" s="11" t="inlineStr">
        <is>
          <t>SC</t>
        </is>
      </c>
      <c r="F9" s="11" t="n">
        <v>4</v>
      </c>
      <c r="G9" s="11" t="inlineStr">
        <is>
          <t>2.5 x 10^6</t>
        </is>
      </c>
      <c r="H9" s="11" t="n">
        <v>0.4</v>
      </c>
      <c r="J9" s="12" t="n"/>
      <c r="K9" s="12" t="n"/>
      <c r="L9" s="12" t="n"/>
      <c r="M9" s="12" t="n"/>
      <c r="N9" s="12" t="n"/>
      <c r="O9" s="12" t="n"/>
      <c r="P9" s="12" t="n"/>
      <c r="R9" s="13">
        <f>IF(J9="",0,IF(EXACT($AC9,$AK9),1,IF(IFERROR(VALUE($AC9)=VALUE($AK9),FALSE),1,0)))</f>
        <v/>
      </c>
      <c r="S9" s="13">
        <f>IF(K9="",0,IF(EXACT($AD9,$AL9),1,IF(IFERROR(VALUE($AD9)=VALUE($AL9),FALSE),1,0)))</f>
        <v/>
      </c>
      <c r="T9" s="13">
        <f>IF(L9="",0,IF(EXACT($AE9,$AM9),1,IF(IFERROR(VALUE($AE9)=VALUE($AM9),FALSE),1,0)))</f>
        <v/>
      </c>
      <c r="U9" s="13">
        <f>IF(M9="",0,IF(EXACT($AF9,$AN9),1,IF(IFERROR(VALUE($AF9)=VALUE($AN9),FALSE),1,0)))</f>
        <v/>
      </c>
      <c r="V9" s="13">
        <f>IF(N9="",0,IF(EXACT($AG9,$AO9),1,IF(IFERROR(VALUE($AG9)=VALUE($AO9),FALSE),1,0)))</f>
        <v/>
      </c>
      <c r="W9" s="13">
        <f>IF(O9="",0,IF(EXACT($AH9,$AP9),1,IF(IFERROR(VALUE($AH9)=VALUE($AP9),FALSE),1,0)))</f>
        <v/>
      </c>
      <c r="X9" s="13">
        <f>IF(P9="",0,IF(EXACT($AI9,$AQ9),1,IF(IFERROR(VALUE($AI9)=VALUE($AQ9),FALSE),1,0)))</f>
        <v/>
      </c>
      <c r="Y9" s="13">
        <f>SUM(R9:X9)</f>
        <v/>
      </c>
      <c r="Z9" s="14" t="n"/>
      <c r="AA9" s="13">
        <f>IF(Z9="",Y9,Z9)</f>
        <v/>
      </c>
      <c r="AC9">
        <f>TRIM(SUBSTITUTE(SUBSTITUTE(SUBSTITUTE(SUBSTITUTE(SUBSTITUTE(SUBSTITUTE(SUBSTITUTE(SUBSTITUTE(SUBSTITUTE(SUBSTITUTE(SUBSTITUTE(SUBSTITUTE(SUBSTITUTE(LOWER(SUBSTITUTE(SUBSTITUTE(SUBSTITUTE(SUBSTITUTE(SUBSTITUTE(B9,"×","x"),"·",""),"−","-"),"–","-"),"^","")),"μ","u"),"µ","u")," ",""),"k1=",""),"k2=",""),"k3=",""),"kd=",""),"ka=",""),"k=",""),"°c",""),"m-1",""),"um",""),"mm",""))</f>
        <v/>
      </c>
      <c r="AD9">
        <f>TRIM(SUBSTITUTE(SUBSTITUTE(SUBSTITUTE(SUBSTITUTE(SUBSTITUTE(SUBSTITUTE(SUBSTITUTE(SUBSTITUTE(SUBSTITUTE(SUBSTITUTE(SUBSTITUTE(SUBSTITUTE(SUBSTITUTE(LOWER(SUBSTITUTE(SUBSTITUTE(SUBSTITUTE(SUBSTITUTE(SUBSTITUTE(C9,"×","x"),"·",""),"−","-"),"–","-"),"^","")),"μ","u"),"µ","u")," ",""),"k1=",""),"k2=",""),"k3=",""),"kd=",""),"ka=",""),"k=",""),"°c",""),"m-1",""),"um",""),"mm",""))</f>
        <v/>
      </c>
      <c r="AE9">
        <f>TRIM(SUBSTITUTE(SUBSTITUTE(SUBSTITUTE(SUBSTITUTE(SUBSTITUTE(SUBSTITUTE(SUBSTITUTE(SUBSTITUTE(SUBSTITUTE(SUBSTITUTE(SUBSTITUTE(SUBSTITUTE(SUBSTITUTE(LOWER(SUBSTITUTE(SUBSTITUTE(SUBSTITUTE(SUBSTITUTE(SUBSTITUTE(D9,"×","x"),"·",""),"−","-"),"–","-"),"^","")),"μ","u"),"µ","u")," ",""),"k1=",""),"k2=",""),"k3=",""),"kd=",""),"ka=",""),"k=",""),"°c",""),"m-1",""),"um",""),"mm",""))</f>
        <v/>
      </c>
      <c r="AF9">
        <f>TRIM(SUBSTITUTE(SUBSTITUTE(SUBSTITUTE(SUBSTITUTE(SUBSTITUTE(SUBSTITUTE(SUBSTITUTE(SUBSTITUTE(SUBSTITUTE(SUBSTITUTE(SUBSTITUTE(SUBSTITUTE(SUBSTITUTE(LOWER(SUBSTITUTE(SUBSTITUTE(SUBSTITUTE(SUBSTITUTE(SUBSTITUTE(E9,"×","x"),"·",""),"−","-"),"–","-"),"^","")),"μ","u"),"µ","u")," ",""),"k1=",""),"k2=",""),"k3=",""),"kd=",""),"ka=",""),"k=",""),"°c",""),"m-1",""),"um",""),"mm",""))</f>
        <v/>
      </c>
      <c r="AG9">
        <f>TRIM(SUBSTITUTE(SUBSTITUTE(SUBSTITUTE(SUBSTITUTE(SUBSTITUTE(SUBSTITUTE(SUBSTITUTE(SUBSTITUTE(SUBSTITUTE(SUBSTITUTE(SUBSTITUTE(SUBSTITUTE(SUBSTITUTE(LOWER(SUBSTITUTE(SUBSTITUTE(SUBSTITUTE(SUBSTITUTE(SUBSTITUTE(F9,"×","x"),"·",""),"−","-"),"–","-"),"^","")),"μ","u"),"µ","u")," ",""),"k1=",""),"k2=",""),"k3=",""),"kd=",""),"ka=",""),"k=",""),"°c",""),"m-1",""),"um",""),"mm",""))</f>
        <v/>
      </c>
      <c r="AH9">
        <f>TRIM(SUBSTITUTE(SUBSTITUTE(SUBSTITUTE(SUBSTITUTE(SUBSTITUTE(SUBSTITUTE(SUBSTITUTE(SUBSTITUTE(SUBSTITUTE(SUBSTITUTE(SUBSTITUTE(SUBSTITUTE(SUBSTITUTE(LOWER(SUBSTITUTE(SUBSTITUTE(SUBSTITUTE(SUBSTITUTE(SUBSTITUTE(G9,"×","x"),"·",""),"−","-"),"–","-"),"^","")),"μ","u"),"µ","u")," ",""),"k1=",""),"k2=",""),"k3=",""),"kd=",""),"ka=",""),"k=",""),"°c",""),"m-1",""),"um",""),"mm",""))</f>
        <v/>
      </c>
      <c r="AI9">
        <f>TRIM(SUBSTITUTE(SUBSTITUTE(SUBSTITUTE(SUBSTITUTE(SUBSTITUTE(SUBSTITUTE(SUBSTITUTE(SUBSTITUTE(SUBSTITUTE(SUBSTITUTE(SUBSTITUTE(SUBSTITUTE(SUBSTITUTE(LOWER(SUBSTITUTE(SUBSTITUTE(SUBSTITUTE(SUBSTITUTE(SUBSTITUTE(H9,"×","x"),"·",""),"−","-"),"–","-"),"^","")),"μ","u"),"µ","u")," ",""),"k1=",""),"k2=",""),"k3=",""),"kd=",""),"ka=",""),"k=",""),"°c",""),"m-1",""),"um",""),"mm",""))</f>
        <v/>
      </c>
      <c r="AK9">
        <f>TRIM(SUBSTITUTE(SUBSTITUTE(SUBSTITUTE(SUBSTITUTE(SUBSTITUTE(SUBSTITUTE(SUBSTITUTE(SUBSTITUTE(SUBSTITUTE(SUBSTITUTE(SUBSTITUTE(SUBSTITUTE(SUBSTITUTE(LOWER(SUBSTITUTE(SUBSTITUTE(SUBSTITUTE(SUBSTITUTE(SUBSTITUTE(J9,"×","x"),"·",""),"−","-"),"–","-"),"^","")),"μ","u"),"µ","u")," ",""),"k1=",""),"k2=",""),"k3=",""),"kd=",""),"ka=",""),"k=",""),"°c",""),"m-1",""),"um",""),"mm",""))</f>
        <v/>
      </c>
      <c r="AL9">
        <f>TRIM(SUBSTITUTE(SUBSTITUTE(SUBSTITUTE(SUBSTITUTE(SUBSTITUTE(SUBSTITUTE(SUBSTITUTE(SUBSTITUTE(SUBSTITUTE(SUBSTITUTE(SUBSTITUTE(SUBSTITUTE(SUBSTITUTE(LOWER(SUBSTITUTE(SUBSTITUTE(SUBSTITUTE(SUBSTITUTE(SUBSTITUTE(K9,"×","x"),"·",""),"−","-"),"–","-"),"^","")),"μ","u"),"µ","u")," ",""),"k1=",""),"k2=",""),"k3=",""),"kd=",""),"ka=",""),"k=",""),"°c",""),"m-1",""),"um",""),"mm",""))</f>
        <v/>
      </c>
      <c r="AM9">
        <f>TRIM(SUBSTITUTE(SUBSTITUTE(SUBSTITUTE(SUBSTITUTE(SUBSTITUTE(SUBSTITUTE(SUBSTITUTE(SUBSTITUTE(SUBSTITUTE(SUBSTITUTE(SUBSTITUTE(SUBSTITUTE(SUBSTITUTE(LOWER(SUBSTITUTE(SUBSTITUTE(SUBSTITUTE(SUBSTITUTE(SUBSTITUTE(L9,"×","x"),"·",""),"−","-"),"–","-"),"^","")),"μ","u"),"µ","u")," ",""),"k1=",""),"k2=",""),"k3=",""),"kd=",""),"ka=",""),"k=",""),"°c",""),"m-1",""),"um",""),"mm",""))</f>
        <v/>
      </c>
      <c r="AN9">
        <f>TRIM(SUBSTITUTE(SUBSTITUTE(SUBSTITUTE(SUBSTITUTE(SUBSTITUTE(SUBSTITUTE(SUBSTITUTE(SUBSTITUTE(SUBSTITUTE(SUBSTITUTE(SUBSTITUTE(SUBSTITUTE(SUBSTITUTE(LOWER(SUBSTITUTE(SUBSTITUTE(SUBSTITUTE(SUBSTITUTE(SUBSTITUTE(M9,"×","x"),"·",""),"−","-"),"–","-"),"^","")),"μ","u"),"µ","u")," ",""),"k1=",""),"k2=",""),"k3=",""),"kd=",""),"ka=",""),"k=",""),"°c",""),"m-1",""),"um",""),"mm",""))</f>
        <v/>
      </c>
      <c r="AO9">
        <f>TRIM(SUBSTITUTE(SUBSTITUTE(SUBSTITUTE(SUBSTITUTE(SUBSTITUTE(SUBSTITUTE(SUBSTITUTE(SUBSTITUTE(SUBSTITUTE(SUBSTITUTE(SUBSTITUTE(SUBSTITUTE(SUBSTITUTE(LOWER(SUBSTITUTE(SUBSTITUTE(SUBSTITUTE(SUBSTITUTE(SUBSTITUTE(N9,"×","x"),"·",""),"−","-"),"–","-"),"^","")),"μ","u"),"µ","u")," ",""),"k1=",""),"k2=",""),"k3=",""),"kd=",""),"ka=",""),"k=",""),"°c",""),"m-1",""),"um",""),"mm",""))</f>
        <v/>
      </c>
      <c r="AP9">
        <f>TRIM(SUBSTITUTE(SUBSTITUTE(SUBSTITUTE(SUBSTITUTE(SUBSTITUTE(SUBSTITUTE(SUBSTITUTE(SUBSTITUTE(SUBSTITUTE(SUBSTITUTE(SUBSTITUTE(SUBSTITUTE(SUBSTITUTE(LOWER(SUBSTITUTE(SUBSTITUTE(SUBSTITUTE(SUBSTITUTE(SUBSTITUTE(O9,"×","x"),"·",""),"−","-"),"–","-"),"^","")),"μ","u"),"µ","u")," ",""),"k1=",""),"k2=",""),"k3=",""),"kd=",""),"ka=",""),"k=",""),"°c",""),"m-1",""),"um",""),"mm",""))</f>
        <v/>
      </c>
      <c r="AQ9">
        <f>TRIM(SUBSTITUTE(SUBSTITUTE(SUBSTITUTE(SUBSTITUTE(SUBSTITUTE(SUBSTITUTE(SUBSTITUTE(SUBSTITUTE(SUBSTITUTE(SUBSTITUTE(SUBSTITUTE(SUBSTITUTE(SUBSTITUTE(LOWER(SUBSTITUTE(SUBSTITUTE(SUBSTITUTE(SUBSTITUTE(SUBSTITUTE(P9,"×","x"),"·",""),"−","-"),"–","-"),"^","")),"μ","u"),"µ","u")," ",""),"k1=",""),"k2=",""),"k3=",""),"kd=",""),"ka=",""),"k=",""),"°c",""),"m-1",""),"um",""),"mm",""))</f>
        <v/>
      </c>
    </row>
    <row r="11">
      <c r="W11" s="2" t="inlineStr">
        <is>
          <t>RUN TOTAL:</t>
        </is>
      </c>
      <c r="Y11" s="15">
        <f>SUM(AA4:AA9)</f>
        <v/>
      </c>
      <c r="Z11" s="3" t="inlineStr">
        <is>
          <t>out of 42</t>
        </is>
      </c>
      <c r="AA11" s="16">
        <f>IF(SUM(AA4:AA9)=0,"",Y11/42)</f>
        <v/>
      </c>
    </row>
    <row r="12">
      <c r="W12" s="3" t="inlineStr">
        <is>
          <t>Accuracy % →</t>
        </is>
      </c>
    </row>
    <row r="14">
      <c r="B14" s="3" t="inlineStr">
        <is>
          <t>Extra rows your model produced beyond these 6 (optional, for feedback):</t>
        </is>
      </c>
      <c r="J14" s="14" t="n"/>
    </row>
  </sheetData>
  <mergeCells count="3">
    <mergeCell ref="J2:P2"/>
    <mergeCell ref="B2:H2"/>
    <mergeCell ref="R2:X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pane xSplit="9" ySplit="3" topLeftCell="J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2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8" customWidth="1" min="25" max="25"/>
    <col width="14" customWidth="1" min="26" max="26"/>
    <col width="9" customWidth="1" min="27" max="27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</cols>
  <sheetData>
    <row r="1">
      <c r="A1" s="1" t="inlineStr">
        <is>
          <t>RUN 2</t>
        </is>
      </c>
      <c r="C1" s="3" t="inlineStr">
        <is>
          <t>Paste your model's values into the BLUE columns, one benchmark row at a time. The GREEN columns check them automatically.</t>
        </is>
      </c>
    </row>
    <row r="2">
      <c r="B2" s="4" t="inlineStr">
        <is>
          <t>BENCHMARK — do not edit</t>
        </is>
      </c>
      <c r="J2" s="5" t="inlineStr">
        <is>
          <t>YOUR MODEL — paste values here</t>
        </is>
      </c>
      <c r="R2" s="6" t="inlineStr">
        <is>
          <t>AUTO-CHECK (rough — you have the final say)</t>
        </is>
      </c>
      <c r="Y2" s="7" t="inlineStr">
        <is>
          <t>SCORE</t>
        </is>
      </c>
    </row>
    <row r="3" ht="30" customHeight="1">
      <c r="A3" s="8" t="inlineStr">
        <is>
          <t>Row</t>
        </is>
      </c>
      <c r="B3" s="9" t="inlineStr">
        <is>
          <t>Species</t>
        </is>
      </c>
      <c r="C3" s="9" t="inlineStr">
        <is>
          <t>Temp (°C)</t>
        </is>
      </c>
      <c r="D3" s="9" t="inlineStr">
        <is>
          <t>Troponin complex</t>
        </is>
      </c>
      <c r="E3" s="9" t="inlineStr">
        <is>
          <t>Bound Ca2+ measure</t>
        </is>
      </c>
      <c r="F3" s="9" t="inlineStr">
        <is>
          <t>Mg (mM)</t>
        </is>
      </c>
      <c r="G3" s="9" t="inlineStr">
        <is>
          <t>Kd (M^-1)</t>
        </is>
      </c>
      <c r="H3" s="9" t="inlineStr">
        <is>
          <t>K (µM)</t>
        </is>
      </c>
      <c r="J3" s="9" t="inlineStr">
        <is>
          <t>Species</t>
        </is>
      </c>
      <c r="K3" s="9" t="inlineStr">
        <is>
          <t>Temp (°C)</t>
        </is>
      </c>
      <c r="L3" s="9" t="inlineStr">
        <is>
          <t>Troponin complex</t>
        </is>
      </c>
      <c r="M3" s="9" t="inlineStr">
        <is>
          <t>Bound Ca2+ measure</t>
        </is>
      </c>
      <c r="N3" s="9" t="inlineStr">
        <is>
          <t>Mg (mM)</t>
        </is>
      </c>
      <c r="O3" s="9" t="inlineStr">
        <is>
          <t>Kd (M^-1)</t>
        </is>
      </c>
      <c r="P3" s="9" t="inlineStr">
        <is>
          <t>K (µM)</t>
        </is>
      </c>
      <c r="R3" s="9" t="inlineStr">
        <is>
          <t>Species</t>
        </is>
      </c>
      <c r="S3" s="9" t="inlineStr">
        <is>
          <t>Temp (°C)</t>
        </is>
      </c>
      <c r="T3" s="9" t="inlineStr">
        <is>
          <t>Troponin complex</t>
        </is>
      </c>
      <c r="U3" s="9" t="inlineStr">
        <is>
          <t>Bound Ca2+ measure</t>
        </is>
      </c>
      <c r="V3" s="9" t="inlineStr">
        <is>
          <t>Mg (mM)</t>
        </is>
      </c>
      <c r="W3" s="9" t="inlineStr">
        <is>
          <t>Kd (M^-1)</t>
        </is>
      </c>
      <c r="X3" s="9" t="inlineStr">
        <is>
          <t>K (µM)</t>
        </is>
      </c>
      <c r="Y3" s="8" t="inlineStr">
        <is>
          <t>Auto /7</t>
        </is>
      </c>
      <c r="Z3" s="8" t="inlineStr">
        <is>
          <t>Your /7 (edit only if you disagree)</t>
        </is>
      </c>
      <c r="AA3" s="8" t="inlineStr">
        <is>
          <t>Final /7</t>
        </is>
      </c>
      <c r="AC3" t="inlineStr">
        <is>
          <t>norm(GT):Species</t>
        </is>
      </c>
      <c r="AD3" t="inlineStr">
        <is>
          <t>norm(GT):Temp (°C)</t>
        </is>
      </c>
      <c r="AE3" t="inlineStr">
        <is>
          <t>norm(GT):Troponin complex</t>
        </is>
      </c>
      <c r="AF3" t="inlineStr">
        <is>
          <t>norm(GT):Bound Ca2+ measure</t>
        </is>
      </c>
      <c r="AG3" t="inlineStr">
        <is>
          <t>norm(GT):Mg (mM)</t>
        </is>
      </c>
      <c r="AH3" t="inlineStr">
        <is>
          <t>norm(GT):Kd (M^-1)</t>
        </is>
      </c>
      <c r="AI3" t="inlineStr">
        <is>
          <t>norm(GT):K (µM)</t>
        </is>
      </c>
      <c r="AK3" t="inlineStr">
        <is>
          <t>norm(you):Species</t>
        </is>
      </c>
      <c r="AL3" t="inlineStr">
        <is>
          <t>norm(you):Temp (°C)</t>
        </is>
      </c>
      <c r="AM3" t="inlineStr">
        <is>
          <t>norm(you):Troponin complex</t>
        </is>
      </c>
      <c r="AN3" t="inlineStr">
        <is>
          <t>norm(you):Bound Ca2+ measure</t>
        </is>
      </c>
      <c r="AO3" t="inlineStr">
        <is>
          <t>norm(you):Mg (mM)</t>
        </is>
      </c>
      <c r="AP3" t="inlineStr">
        <is>
          <t>norm(you):Kd (M^-1)</t>
        </is>
      </c>
      <c r="AQ3" t="inlineStr">
        <is>
          <t>norm(you):K (µM)</t>
        </is>
      </c>
    </row>
    <row r="4">
      <c r="A4" s="10" t="n">
        <v>1</v>
      </c>
      <c r="B4" s="11" t="inlineStr">
        <is>
          <t>Bovine</t>
        </is>
      </c>
      <c r="C4" s="11" t="n">
        <v>4</v>
      </c>
      <c r="D4" s="11" t="inlineStr">
        <is>
          <t>TnC</t>
        </is>
      </c>
      <c r="E4" s="11" t="inlineStr">
        <is>
          <t>SC</t>
        </is>
      </c>
      <c r="F4" s="11" t="inlineStr">
        <is>
          <t>None</t>
        </is>
      </c>
      <c r="G4" s="11" t="inlineStr">
        <is>
          <t>2.5 x 10^5</t>
        </is>
      </c>
      <c r="H4" s="11" t="n">
        <v>4</v>
      </c>
      <c r="J4" s="12" t="n"/>
      <c r="K4" s="12" t="n"/>
      <c r="L4" s="12" t="n"/>
      <c r="M4" s="12" t="n"/>
      <c r="N4" s="12" t="n"/>
      <c r="O4" s="12" t="n"/>
      <c r="P4" s="12" t="n"/>
      <c r="R4" s="13">
        <f>IF(J4="",0,IF(EXACT($AC4,$AK4),1,IF(IFERROR(VALUE($AC4)=VALUE($AK4),FALSE),1,0)))</f>
        <v/>
      </c>
      <c r="S4" s="13">
        <f>IF(K4="",0,IF(EXACT($AD4,$AL4),1,IF(IFERROR(VALUE($AD4)=VALUE($AL4),FALSE),1,0)))</f>
        <v/>
      </c>
      <c r="T4" s="13">
        <f>IF(L4="",0,IF(EXACT($AE4,$AM4),1,IF(IFERROR(VALUE($AE4)=VALUE($AM4),FALSE),1,0)))</f>
        <v/>
      </c>
      <c r="U4" s="13">
        <f>IF(M4="",0,IF(EXACT($AF4,$AN4),1,IF(IFERROR(VALUE($AF4)=VALUE($AN4),FALSE),1,0)))</f>
        <v/>
      </c>
      <c r="V4" s="13">
        <f>IF(N4="",0,IF(EXACT($AG4,$AO4),1,IF(IFERROR(VALUE($AG4)=VALUE($AO4),FALSE),1,0)))</f>
        <v/>
      </c>
      <c r="W4" s="13">
        <f>IF(O4="",0,IF(EXACT($AH4,$AP4),1,IF(IFERROR(VALUE($AH4)=VALUE($AP4),FALSE),1,0)))</f>
        <v/>
      </c>
      <c r="X4" s="13">
        <f>IF(P4="",0,IF(EXACT($AI4,$AQ4),1,IF(IFERROR(VALUE($AI4)=VALUE($AQ4),FALSE),1,0)))</f>
        <v/>
      </c>
      <c r="Y4" s="13">
        <f>SUM(R4:X4)</f>
        <v/>
      </c>
      <c r="Z4" s="14" t="n"/>
      <c r="AA4" s="13">
        <f>IF(Z4="",Y4,Z4)</f>
        <v/>
      </c>
      <c r="AC4">
        <f>TRIM(SUBSTITUTE(SUBSTITUTE(SUBSTITUTE(SUBSTITUTE(SUBSTITUTE(SUBSTITUTE(SUBSTITUTE(SUBSTITUTE(SUBSTITUTE(SUBSTITUTE(SUBSTITUTE(SUBSTITUTE(SUBSTITUTE(LOWER(SUBSTITUTE(SUBSTITUTE(SUBSTITUTE(SUBSTITUTE(SUBSTITUTE(B4,"×","x"),"·",""),"−","-"),"–","-"),"^","")),"μ","u"),"µ","u")," ",""),"k1=",""),"k2=",""),"k3=",""),"kd=",""),"ka=",""),"k=",""),"°c",""),"m-1",""),"um",""),"mm",""))</f>
        <v/>
      </c>
      <c r="AD4">
        <f>TRIM(SUBSTITUTE(SUBSTITUTE(SUBSTITUTE(SUBSTITUTE(SUBSTITUTE(SUBSTITUTE(SUBSTITUTE(SUBSTITUTE(SUBSTITUTE(SUBSTITUTE(SUBSTITUTE(SUBSTITUTE(SUBSTITUTE(LOWER(SUBSTITUTE(SUBSTITUTE(SUBSTITUTE(SUBSTITUTE(SUBSTITUTE(C4,"×","x"),"·",""),"−","-"),"–","-"),"^","")),"μ","u"),"µ","u")," ",""),"k1=",""),"k2=",""),"k3=",""),"kd=",""),"ka=",""),"k=",""),"°c",""),"m-1",""),"um",""),"mm",""))</f>
        <v/>
      </c>
      <c r="AE4">
        <f>TRIM(SUBSTITUTE(SUBSTITUTE(SUBSTITUTE(SUBSTITUTE(SUBSTITUTE(SUBSTITUTE(SUBSTITUTE(SUBSTITUTE(SUBSTITUTE(SUBSTITUTE(SUBSTITUTE(SUBSTITUTE(SUBSTITUTE(LOWER(SUBSTITUTE(SUBSTITUTE(SUBSTITUTE(SUBSTITUTE(SUBSTITUTE(D4,"×","x"),"·",""),"−","-"),"–","-"),"^","")),"μ","u"),"µ","u")," ",""),"k1=",""),"k2=",""),"k3=",""),"kd=",""),"ka=",""),"k=",""),"°c",""),"m-1",""),"um",""),"mm",""))</f>
        <v/>
      </c>
      <c r="AF4">
        <f>TRIM(SUBSTITUTE(SUBSTITUTE(SUBSTITUTE(SUBSTITUTE(SUBSTITUTE(SUBSTITUTE(SUBSTITUTE(SUBSTITUTE(SUBSTITUTE(SUBSTITUTE(SUBSTITUTE(SUBSTITUTE(SUBSTITUTE(LOWER(SUBSTITUTE(SUBSTITUTE(SUBSTITUTE(SUBSTITUTE(SUBSTITUTE(E4,"×","x"),"·",""),"−","-"),"–","-"),"^","")),"μ","u"),"µ","u")," ",""),"k1=",""),"k2=",""),"k3=",""),"kd=",""),"ka=",""),"k=",""),"°c",""),"m-1",""),"um",""),"mm",""))</f>
        <v/>
      </c>
      <c r="AG4">
        <f>TRIM(SUBSTITUTE(SUBSTITUTE(SUBSTITUTE(SUBSTITUTE(SUBSTITUTE(SUBSTITUTE(SUBSTITUTE(SUBSTITUTE(SUBSTITUTE(SUBSTITUTE(SUBSTITUTE(SUBSTITUTE(SUBSTITUTE(LOWER(SUBSTITUTE(SUBSTITUTE(SUBSTITUTE(SUBSTITUTE(SUBSTITUTE(F4,"×","x"),"·",""),"−","-"),"–","-"),"^","")),"μ","u"),"µ","u")," ",""),"k1=",""),"k2=",""),"k3=",""),"kd=",""),"ka=",""),"k=",""),"°c",""),"m-1",""),"um",""),"mm",""))</f>
        <v/>
      </c>
      <c r="AH4">
        <f>TRIM(SUBSTITUTE(SUBSTITUTE(SUBSTITUTE(SUBSTITUTE(SUBSTITUTE(SUBSTITUTE(SUBSTITUTE(SUBSTITUTE(SUBSTITUTE(SUBSTITUTE(SUBSTITUTE(SUBSTITUTE(SUBSTITUTE(LOWER(SUBSTITUTE(SUBSTITUTE(SUBSTITUTE(SUBSTITUTE(SUBSTITUTE(G4,"×","x"),"·",""),"−","-"),"–","-"),"^","")),"μ","u"),"µ","u")," ",""),"k1=",""),"k2=",""),"k3=",""),"kd=",""),"ka=",""),"k=",""),"°c",""),"m-1",""),"um",""),"mm",""))</f>
        <v/>
      </c>
      <c r="AI4">
        <f>TRIM(SUBSTITUTE(SUBSTITUTE(SUBSTITUTE(SUBSTITUTE(SUBSTITUTE(SUBSTITUTE(SUBSTITUTE(SUBSTITUTE(SUBSTITUTE(SUBSTITUTE(SUBSTITUTE(SUBSTITUTE(SUBSTITUTE(LOWER(SUBSTITUTE(SUBSTITUTE(SUBSTITUTE(SUBSTITUTE(SUBSTITUTE(H4,"×","x"),"·",""),"−","-"),"–","-"),"^","")),"μ","u"),"µ","u")," ",""),"k1=",""),"k2=",""),"k3=",""),"kd=",""),"ka=",""),"k=",""),"°c",""),"m-1",""),"um",""),"mm",""))</f>
        <v/>
      </c>
      <c r="AK4">
        <f>TRIM(SUBSTITUTE(SUBSTITUTE(SUBSTITUTE(SUBSTITUTE(SUBSTITUTE(SUBSTITUTE(SUBSTITUTE(SUBSTITUTE(SUBSTITUTE(SUBSTITUTE(SUBSTITUTE(SUBSTITUTE(SUBSTITUTE(LOWER(SUBSTITUTE(SUBSTITUTE(SUBSTITUTE(SUBSTITUTE(SUBSTITUTE(J4,"×","x"),"·",""),"−","-"),"–","-"),"^","")),"μ","u"),"µ","u")," ",""),"k1=",""),"k2=",""),"k3=",""),"kd=",""),"ka=",""),"k=",""),"°c",""),"m-1",""),"um",""),"mm",""))</f>
        <v/>
      </c>
      <c r="AL4">
        <f>TRIM(SUBSTITUTE(SUBSTITUTE(SUBSTITUTE(SUBSTITUTE(SUBSTITUTE(SUBSTITUTE(SUBSTITUTE(SUBSTITUTE(SUBSTITUTE(SUBSTITUTE(SUBSTITUTE(SUBSTITUTE(SUBSTITUTE(LOWER(SUBSTITUTE(SUBSTITUTE(SUBSTITUTE(SUBSTITUTE(SUBSTITUTE(K4,"×","x"),"·",""),"−","-"),"–","-"),"^","")),"μ","u"),"µ","u")," ",""),"k1=",""),"k2=",""),"k3=",""),"kd=",""),"ka=",""),"k=",""),"°c",""),"m-1",""),"um",""),"mm",""))</f>
        <v/>
      </c>
      <c r="AM4">
        <f>TRIM(SUBSTITUTE(SUBSTITUTE(SUBSTITUTE(SUBSTITUTE(SUBSTITUTE(SUBSTITUTE(SUBSTITUTE(SUBSTITUTE(SUBSTITUTE(SUBSTITUTE(SUBSTITUTE(SUBSTITUTE(SUBSTITUTE(LOWER(SUBSTITUTE(SUBSTITUTE(SUBSTITUTE(SUBSTITUTE(SUBSTITUTE(L4,"×","x"),"·",""),"−","-"),"–","-"),"^","")),"μ","u"),"µ","u")," ",""),"k1=",""),"k2=",""),"k3=",""),"kd=",""),"ka=",""),"k=",""),"°c",""),"m-1",""),"um",""),"mm",""))</f>
        <v/>
      </c>
      <c r="AN4">
        <f>TRIM(SUBSTITUTE(SUBSTITUTE(SUBSTITUTE(SUBSTITUTE(SUBSTITUTE(SUBSTITUTE(SUBSTITUTE(SUBSTITUTE(SUBSTITUTE(SUBSTITUTE(SUBSTITUTE(SUBSTITUTE(SUBSTITUTE(LOWER(SUBSTITUTE(SUBSTITUTE(SUBSTITUTE(SUBSTITUTE(SUBSTITUTE(M4,"×","x"),"·",""),"−","-"),"–","-"),"^","")),"μ","u"),"µ","u")," ",""),"k1=",""),"k2=",""),"k3=",""),"kd=",""),"ka=",""),"k=",""),"°c",""),"m-1",""),"um",""),"mm",""))</f>
        <v/>
      </c>
      <c r="AO4">
        <f>TRIM(SUBSTITUTE(SUBSTITUTE(SUBSTITUTE(SUBSTITUTE(SUBSTITUTE(SUBSTITUTE(SUBSTITUTE(SUBSTITUTE(SUBSTITUTE(SUBSTITUTE(SUBSTITUTE(SUBSTITUTE(SUBSTITUTE(LOWER(SUBSTITUTE(SUBSTITUTE(SUBSTITUTE(SUBSTITUTE(SUBSTITUTE(N4,"×","x"),"·",""),"−","-"),"–","-"),"^","")),"μ","u"),"µ","u")," ",""),"k1=",""),"k2=",""),"k3=",""),"kd=",""),"ka=",""),"k=",""),"°c",""),"m-1",""),"um",""),"mm",""))</f>
        <v/>
      </c>
      <c r="AP4">
        <f>TRIM(SUBSTITUTE(SUBSTITUTE(SUBSTITUTE(SUBSTITUTE(SUBSTITUTE(SUBSTITUTE(SUBSTITUTE(SUBSTITUTE(SUBSTITUTE(SUBSTITUTE(SUBSTITUTE(SUBSTITUTE(SUBSTITUTE(LOWER(SUBSTITUTE(SUBSTITUTE(SUBSTITUTE(SUBSTITUTE(SUBSTITUTE(O4,"×","x"),"·",""),"−","-"),"–","-"),"^","")),"μ","u"),"µ","u")," ",""),"k1=",""),"k2=",""),"k3=",""),"kd=",""),"ka=",""),"k=",""),"°c",""),"m-1",""),"um",""),"mm",""))</f>
        <v/>
      </c>
      <c r="AQ4">
        <f>TRIM(SUBSTITUTE(SUBSTITUTE(SUBSTITUTE(SUBSTITUTE(SUBSTITUTE(SUBSTITUTE(SUBSTITUTE(SUBSTITUTE(SUBSTITUTE(SUBSTITUTE(SUBSTITUTE(SUBSTITUTE(SUBSTITUTE(LOWER(SUBSTITUTE(SUBSTITUTE(SUBSTITUTE(SUBSTITUTE(SUBSTITUTE(P4,"×","x"),"·",""),"−","-"),"–","-"),"^","")),"μ","u"),"µ","u")," ",""),"k1=",""),"k2=",""),"k3=",""),"kd=",""),"ka=",""),"k=",""),"°c",""),"m-1",""),"um",""),"mm",""))</f>
        <v/>
      </c>
    </row>
    <row r="5">
      <c r="A5" s="10" t="n">
        <v>2</v>
      </c>
      <c r="B5" s="11" t="inlineStr">
        <is>
          <t>Bovine</t>
        </is>
      </c>
      <c r="C5" s="11" t="n">
        <v>4</v>
      </c>
      <c r="D5" s="11" t="inlineStr">
        <is>
          <t>TnC</t>
        </is>
      </c>
      <c r="E5" s="11" t="inlineStr">
        <is>
          <t>SC</t>
        </is>
      </c>
      <c r="F5" s="11" t="n">
        <v>4</v>
      </c>
      <c r="G5" s="11" t="inlineStr">
        <is>
          <t>2.5 x 10^5</t>
        </is>
      </c>
      <c r="H5" s="11" t="n">
        <v>4</v>
      </c>
      <c r="J5" s="12" t="n"/>
      <c r="K5" s="12" t="n"/>
      <c r="L5" s="12" t="n"/>
      <c r="M5" s="12" t="n"/>
      <c r="N5" s="12" t="n"/>
      <c r="O5" s="12" t="n"/>
      <c r="P5" s="12" t="n"/>
      <c r="R5" s="13">
        <f>IF(J5="",0,IF(EXACT($AC5,$AK5),1,IF(IFERROR(VALUE($AC5)=VALUE($AK5),FALSE),1,0)))</f>
        <v/>
      </c>
      <c r="S5" s="13">
        <f>IF(K5="",0,IF(EXACT($AD5,$AL5),1,IF(IFERROR(VALUE($AD5)=VALUE($AL5),FALSE),1,0)))</f>
        <v/>
      </c>
      <c r="T5" s="13">
        <f>IF(L5="",0,IF(EXACT($AE5,$AM5),1,IF(IFERROR(VALUE($AE5)=VALUE($AM5),FALSE),1,0)))</f>
        <v/>
      </c>
      <c r="U5" s="13">
        <f>IF(M5="",0,IF(EXACT($AF5,$AN5),1,IF(IFERROR(VALUE($AF5)=VALUE($AN5),FALSE),1,0)))</f>
        <v/>
      </c>
      <c r="V5" s="13">
        <f>IF(N5="",0,IF(EXACT($AG5,$AO5),1,IF(IFERROR(VALUE($AG5)=VALUE($AO5),FALSE),1,0)))</f>
        <v/>
      </c>
      <c r="W5" s="13">
        <f>IF(O5="",0,IF(EXACT($AH5,$AP5),1,IF(IFERROR(VALUE($AH5)=VALUE($AP5),FALSE),1,0)))</f>
        <v/>
      </c>
      <c r="X5" s="13">
        <f>IF(P5="",0,IF(EXACT($AI5,$AQ5),1,IF(IFERROR(VALUE($AI5)=VALUE($AQ5),FALSE),1,0)))</f>
        <v/>
      </c>
      <c r="Y5" s="13">
        <f>SUM(R5:X5)</f>
        <v/>
      </c>
      <c r="Z5" s="14" t="n"/>
      <c r="AA5" s="13">
        <f>IF(Z5="",Y5,Z5)</f>
        <v/>
      </c>
      <c r="AC5">
        <f>TRIM(SUBSTITUTE(SUBSTITUTE(SUBSTITUTE(SUBSTITUTE(SUBSTITUTE(SUBSTITUTE(SUBSTITUTE(SUBSTITUTE(SUBSTITUTE(SUBSTITUTE(SUBSTITUTE(SUBSTITUTE(SUBSTITUTE(LOWER(SUBSTITUTE(SUBSTITUTE(SUBSTITUTE(SUBSTITUTE(SUBSTITUTE(B5,"×","x"),"·",""),"−","-"),"–","-"),"^","")),"μ","u"),"µ","u")," ",""),"k1=",""),"k2=",""),"k3=",""),"kd=",""),"ka=",""),"k=",""),"°c",""),"m-1",""),"um",""),"mm",""))</f>
        <v/>
      </c>
      <c r="AD5">
        <f>TRIM(SUBSTITUTE(SUBSTITUTE(SUBSTITUTE(SUBSTITUTE(SUBSTITUTE(SUBSTITUTE(SUBSTITUTE(SUBSTITUTE(SUBSTITUTE(SUBSTITUTE(SUBSTITUTE(SUBSTITUTE(SUBSTITUTE(LOWER(SUBSTITUTE(SUBSTITUTE(SUBSTITUTE(SUBSTITUTE(SUBSTITUTE(C5,"×","x"),"·",""),"−","-"),"–","-"),"^","")),"μ","u"),"µ","u")," ",""),"k1=",""),"k2=",""),"k3=",""),"kd=",""),"ka=",""),"k=",""),"°c",""),"m-1",""),"um",""),"mm",""))</f>
        <v/>
      </c>
      <c r="AE5">
        <f>TRIM(SUBSTITUTE(SUBSTITUTE(SUBSTITUTE(SUBSTITUTE(SUBSTITUTE(SUBSTITUTE(SUBSTITUTE(SUBSTITUTE(SUBSTITUTE(SUBSTITUTE(SUBSTITUTE(SUBSTITUTE(SUBSTITUTE(LOWER(SUBSTITUTE(SUBSTITUTE(SUBSTITUTE(SUBSTITUTE(SUBSTITUTE(D5,"×","x"),"·",""),"−","-"),"–","-"),"^","")),"μ","u"),"µ","u")," ",""),"k1=",""),"k2=",""),"k3=",""),"kd=",""),"ka=",""),"k=",""),"°c",""),"m-1",""),"um",""),"mm",""))</f>
        <v/>
      </c>
      <c r="AF5">
        <f>TRIM(SUBSTITUTE(SUBSTITUTE(SUBSTITUTE(SUBSTITUTE(SUBSTITUTE(SUBSTITUTE(SUBSTITUTE(SUBSTITUTE(SUBSTITUTE(SUBSTITUTE(SUBSTITUTE(SUBSTITUTE(SUBSTITUTE(LOWER(SUBSTITUTE(SUBSTITUTE(SUBSTITUTE(SUBSTITUTE(SUBSTITUTE(E5,"×","x"),"·",""),"−","-"),"–","-"),"^","")),"μ","u"),"µ","u")," ",""),"k1=",""),"k2=",""),"k3=",""),"kd=",""),"ka=",""),"k=",""),"°c",""),"m-1",""),"um",""),"mm",""))</f>
        <v/>
      </c>
      <c r="AG5">
        <f>TRIM(SUBSTITUTE(SUBSTITUTE(SUBSTITUTE(SUBSTITUTE(SUBSTITUTE(SUBSTITUTE(SUBSTITUTE(SUBSTITUTE(SUBSTITUTE(SUBSTITUTE(SUBSTITUTE(SUBSTITUTE(SUBSTITUTE(LOWER(SUBSTITUTE(SUBSTITUTE(SUBSTITUTE(SUBSTITUTE(SUBSTITUTE(F5,"×","x"),"·",""),"−","-"),"–","-"),"^","")),"μ","u"),"µ","u")," ",""),"k1=",""),"k2=",""),"k3=",""),"kd=",""),"ka=",""),"k=",""),"°c",""),"m-1",""),"um",""),"mm",""))</f>
        <v/>
      </c>
      <c r="AH5">
        <f>TRIM(SUBSTITUTE(SUBSTITUTE(SUBSTITUTE(SUBSTITUTE(SUBSTITUTE(SUBSTITUTE(SUBSTITUTE(SUBSTITUTE(SUBSTITUTE(SUBSTITUTE(SUBSTITUTE(SUBSTITUTE(SUBSTITUTE(LOWER(SUBSTITUTE(SUBSTITUTE(SUBSTITUTE(SUBSTITUTE(SUBSTITUTE(G5,"×","x"),"·",""),"−","-"),"–","-"),"^","")),"μ","u"),"µ","u")," ",""),"k1=",""),"k2=",""),"k3=",""),"kd=",""),"ka=",""),"k=",""),"°c",""),"m-1",""),"um",""),"mm",""))</f>
        <v/>
      </c>
      <c r="AI5">
        <f>TRIM(SUBSTITUTE(SUBSTITUTE(SUBSTITUTE(SUBSTITUTE(SUBSTITUTE(SUBSTITUTE(SUBSTITUTE(SUBSTITUTE(SUBSTITUTE(SUBSTITUTE(SUBSTITUTE(SUBSTITUTE(SUBSTITUTE(LOWER(SUBSTITUTE(SUBSTITUTE(SUBSTITUTE(SUBSTITUTE(SUBSTITUTE(H5,"×","x"),"·",""),"−","-"),"–","-"),"^","")),"μ","u"),"µ","u")," ",""),"k1=",""),"k2=",""),"k3=",""),"kd=",""),"ka=",""),"k=",""),"°c",""),"m-1",""),"um",""),"mm",""))</f>
        <v/>
      </c>
      <c r="AK5">
        <f>TRIM(SUBSTITUTE(SUBSTITUTE(SUBSTITUTE(SUBSTITUTE(SUBSTITUTE(SUBSTITUTE(SUBSTITUTE(SUBSTITUTE(SUBSTITUTE(SUBSTITUTE(SUBSTITUTE(SUBSTITUTE(SUBSTITUTE(LOWER(SUBSTITUTE(SUBSTITUTE(SUBSTITUTE(SUBSTITUTE(SUBSTITUTE(J5,"×","x"),"·",""),"−","-"),"–","-"),"^","")),"μ","u"),"µ","u")," ",""),"k1=",""),"k2=",""),"k3=",""),"kd=",""),"ka=",""),"k=",""),"°c",""),"m-1",""),"um",""),"mm",""))</f>
        <v/>
      </c>
      <c r="AL5">
        <f>TRIM(SUBSTITUTE(SUBSTITUTE(SUBSTITUTE(SUBSTITUTE(SUBSTITUTE(SUBSTITUTE(SUBSTITUTE(SUBSTITUTE(SUBSTITUTE(SUBSTITUTE(SUBSTITUTE(SUBSTITUTE(SUBSTITUTE(LOWER(SUBSTITUTE(SUBSTITUTE(SUBSTITUTE(SUBSTITUTE(SUBSTITUTE(K5,"×","x"),"·",""),"−","-"),"–","-"),"^","")),"μ","u"),"µ","u")," ",""),"k1=",""),"k2=",""),"k3=",""),"kd=",""),"ka=",""),"k=",""),"°c",""),"m-1",""),"um",""),"mm",""))</f>
        <v/>
      </c>
      <c r="AM5">
        <f>TRIM(SUBSTITUTE(SUBSTITUTE(SUBSTITUTE(SUBSTITUTE(SUBSTITUTE(SUBSTITUTE(SUBSTITUTE(SUBSTITUTE(SUBSTITUTE(SUBSTITUTE(SUBSTITUTE(SUBSTITUTE(SUBSTITUTE(LOWER(SUBSTITUTE(SUBSTITUTE(SUBSTITUTE(SUBSTITUTE(SUBSTITUTE(L5,"×","x"),"·",""),"−","-"),"–","-"),"^","")),"μ","u"),"µ","u")," ",""),"k1=",""),"k2=",""),"k3=",""),"kd=",""),"ka=",""),"k=",""),"°c",""),"m-1",""),"um",""),"mm",""))</f>
        <v/>
      </c>
      <c r="AN5">
        <f>TRIM(SUBSTITUTE(SUBSTITUTE(SUBSTITUTE(SUBSTITUTE(SUBSTITUTE(SUBSTITUTE(SUBSTITUTE(SUBSTITUTE(SUBSTITUTE(SUBSTITUTE(SUBSTITUTE(SUBSTITUTE(SUBSTITUTE(LOWER(SUBSTITUTE(SUBSTITUTE(SUBSTITUTE(SUBSTITUTE(SUBSTITUTE(M5,"×","x"),"·",""),"−","-"),"–","-"),"^","")),"μ","u"),"µ","u")," ",""),"k1=",""),"k2=",""),"k3=",""),"kd=",""),"ka=",""),"k=",""),"°c",""),"m-1",""),"um",""),"mm",""))</f>
        <v/>
      </c>
      <c r="AO5">
        <f>TRIM(SUBSTITUTE(SUBSTITUTE(SUBSTITUTE(SUBSTITUTE(SUBSTITUTE(SUBSTITUTE(SUBSTITUTE(SUBSTITUTE(SUBSTITUTE(SUBSTITUTE(SUBSTITUTE(SUBSTITUTE(SUBSTITUTE(LOWER(SUBSTITUTE(SUBSTITUTE(SUBSTITUTE(SUBSTITUTE(SUBSTITUTE(N5,"×","x"),"·",""),"−","-"),"–","-"),"^","")),"μ","u"),"µ","u")," ",""),"k1=",""),"k2=",""),"k3=",""),"kd=",""),"ka=",""),"k=",""),"°c",""),"m-1",""),"um",""),"mm",""))</f>
        <v/>
      </c>
      <c r="AP5">
        <f>TRIM(SUBSTITUTE(SUBSTITUTE(SUBSTITUTE(SUBSTITUTE(SUBSTITUTE(SUBSTITUTE(SUBSTITUTE(SUBSTITUTE(SUBSTITUTE(SUBSTITUTE(SUBSTITUTE(SUBSTITUTE(SUBSTITUTE(LOWER(SUBSTITUTE(SUBSTITUTE(SUBSTITUTE(SUBSTITUTE(SUBSTITUTE(O5,"×","x"),"·",""),"−","-"),"–","-"),"^","")),"μ","u"),"µ","u")," ",""),"k1=",""),"k2=",""),"k3=",""),"kd=",""),"ka=",""),"k=",""),"°c",""),"m-1",""),"um",""),"mm",""))</f>
        <v/>
      </c>
      <c r="AQ5">
        <f>TRIM(SUBSTITUTE(SUBSTITUTE(SUBSTITUTE(SUBSTITUTE(SUBSTITUTE(SUBSTITUTE(SUBSTITUTE(SUBSTITUTE(SUBSTITUTE(SUBSTITUTE(SUBSTITUTE(SUBSTITUTE(SUBSTITUTE(LOWER(SUBSTITUTE(SUBSTITUTE(SUBSTITUTE(SUBSTITUTE(SUBSTITUTE(P5,"×","x"),"·",""),"−","-"),"–","-"),"^","")),"μ","u"),"µ","u")," ",""),"k1=",""),"k2=",""),"k3=",""),"kd=",""),"ka=",""),"k=",""),"°c",""),"m-1",""),"um",""),"mm",""))</f>
        <v/>
      </c>
    </row>
    <row r="6">
      <c r="A6" s="10" t="n">
        <v>3</v>
      </c>
      <c r="B6" s="11" t="inlineStr">
        <is>
          <t>Bovine</t>
        </is>
      </c>
      <c r="C6" s="11" t="n">
        <v>4</v>
      </c>
      <c r="D6" s="11" t="inlineStr">
        <is>
          <t>TnC-TnI</t>
        </is>
      </c>
      <c r="E6" s="11" t="inlineStr">
        <is>
          <t>SC</t>
        </is>
      </c>
      <c r="F6" s="11" t="n">
        <v>4</v>
      </c>
      <c r="G6" s="11" t="inlineStr">
        <is>
          <t>1 x 10^6</t>
        </is>
      </c>
      <c r="H6" s="11" t="n">
        <v>1</v>
      </c>
      <c r="J6" s="12" t="n"/>
      <c r="K6" s="12" t="n"/>
      <c r="L6" s="12" t="n"/>
      <c r="M6" s="12" t="n"/>
      <c r="N6" s="12" t="n"/>
      <c r="O6" s="12" t="n"/>
      <c r="P6" s="12" t="n"/>
      <c r="R6" s="13">
        <f>IF(J6="",0,IF(EXACT($AC6,$AK6),1,IF(IFERROR(VALUE($AC6)=VALUE($AK6),FALSE),1,0)))</f>
        <v/>
      </c>
      <c r="S6" s="13">
        <f>IF(K6="",0,IF(EXACT($AD6,$AL6),1,IF(IFERROR(VALUE($AD6)=VALUE($AL6),FALSE),1,0)))</f>
        <v/>
      </c>
      <c r="T6" s="13">
        <f>IF(L6="",0,IF(EXACT($AE6,$AM6),1,IF(IFERROR(VALUE($AE6)=VALUE($AM6),FALSE),1,0)))</f>
        <v/>
      </c>
      <c r="U6" s="13">
        <f>IF(M6="",0,IF(EXACT($AF6,$AN6),1,IF(IFERROR(VALUE($AF6)=VALUE($AN6),FALSE),1,0)))</f>
        <v/>
      </c>
      <c r="V6" s="13">
        <f>IF(N6="",0,IF(EXACT($AG6,$AO6),1,IF(IFERROR(VALUE($AG6)=VALUE($AO6),FALSE),1,0)))</f>
        <v/>
      </c>
      <c r="W6" s="13">
        <f>IF(O6="",0,IF(EXACT($AH6,$AP6),1,IF(IFERROR(VALUE($AH6)=VALUE($AP6),FALSE),1,0)))</f>
        <v/>
      </c>
      <c r="X6" s="13">
        <f>IF(P6="",0,IF(EXACT($AI6,$AQ6),1,IF(IFERROR(VALUE($AI6)=VALUE($AQ6),FALSE),1,0)))</f>
        <v/>
      </c>
      <c r="Y6" s="13">
        <f>SUM(R6:X6)</f>
        <v/>
      </c>
      <c r="Z6" s="14" t="n"/>
      <c r="AA6" s="13">
        <f>IF(Z6="",Y6,Z6)</f>
        <v/>
      </c>
      <c r="AC6">
        <f>TRIM(SUBSTITUTE(SUBSTITUTE(SUBSTITUTE(SUBSTITUTE(SUBSTITUTE(SUBSTITUTE(SUBSTITUTE(SUBSTITUTE(SUBSTITUTE(SUBSTITUTE(SUBSTITUTE(SUBSTITUTE(SUBSTITUTE(LOWER(SUBSTITUTE(SUBSTITUTE(SUBSTITUTE(SUBSTITUTE(SUBSTITUTE(B6,"×","x"),"·",""),"−","-"),"–","-"),"^","")),"μ","u"),"µ","u")," ",""),"k1=",""),"k2=",""),"k3=",""),"kd=",""),"ka=",""),"k=",""),"°c",""),"m-1",""),"um",""),"mm",""))</f>
        <v/>
      </c>
      <c r="AD6">
        <f>TRIM(SUBSTITUTE(SUBSTITUTE(SUBSTITUTE(SUBSTITUTE(SUBSTITUTE(SUBSTITUTE(SUBSTITUTE(SUBSTITUTE(SUBSTITUTE(SUBSTITUTE(SUBSTITUTE(SUBSTITUTE(SUBSTITUTE(LOWER(SUBSTITUTE(SUBSTITUTE(SUBSTITUTE(SUBSTITUTE(SUBSTITUTE(C6,"×","x"),"·",""),"−","-"),"–","-"),"^","")),"μ","u"),"µ","u")," ",""),"k1=",""),"k2=",""),"k3=",""),"kd=",""),"ka=",""),"k=",""),"°c",""),"m-1",""),"um",""),"mm",""))</f>
        <v/>
      </c>
      <c r="AE6">
        <f>TRIM(SUBSTITUTE(SUBSTITUTE(SUBSTITUTE(SUBSTITUTE(SUBSTITUTE(SUBSTITUTE(SUBSTITUTE(SUBSTITUTE(SUBSTITUTE(SUBSTITUTE(SUBSTITUTE(SUBSTITUTE(SUBSTITUTE(LOWER(SUBSTITUTE(SUBSTITUTE(SUBSTITUTE(SUBSTITUTE(SUBSTITUTE(D6,"×","x"),"·",""),"−","-"),"–","-"),"^","")),"μ","u"),"µ","u")," ",""),"k1=",""),"k2=",""),"k3=",""),"kd=",""),"ka=",""),"k=",""),"°c",""),"m-1",""),"um",""),"mm",""))</f>
        <v/>
      </c>
      <c r="AF6">
        <f>TRIM(SUBSTITUTE(SUBSTITUTE(SUBSTITUTE(SUBSTITUTE(SUBSTITUTE(SUBSTITUTE(SUBSTITUTE(SUBSTITUTE(SUBSTITUTE(SUBSTITUTE(SUBSTITUTE(SUBSTITUTE(SUBSTITUTE(LOWER(SUBSTITUTE(SUBSTITUTE(SUBSTITUTE(SUBSTITUTE(SUBSTITUTE(E6,"×","x"),"·",""),"−","-"),"–","-"),"^","")),"μ","u"),"µ","u")," ",""),"k1=",""),"k2=",""),"k3=",""),"kd=",""),"ka=",""),"k=",""),"°c",""),"m-1",""),"um",""),"mm",""))</f>
        <v/>
      </c>
      <c r="AG6">
        <f>TRIM(SUBSTITUTE(SUBSTITUTE(SUBSTITUTE(SUBSTITUTE(SUBSTITUTE(SUBSTITUTE(SUBSTITUTE(SUBSTITUTE(SUBSTITUTE(SUBSTITUTE(SUBSTITUTE(SUBSTITUTE(SUBSTITUTE(LOWER(SUBSTITUTE(SUBSTITUTE(SUBSTITUTE(SUBSTITUTE(SUBSTITUTE(F6,"×","x"),"·",""),"−","-"),"–","-"),"^","")),"μ","u"),"µ","u")," ",""),"k1=",""),"k2=",""),"k3=",""),"kd=",""),"ka=",""),"k=",""),"°c",""),"m-1",""),"um",""),"mm",""))</f>
        <v/>
      </c>
      <c r="AH6">
        <f>TRIM(SUBSTITUTE(SUBSTITUTE(SUBSTITUTE(SUBSTITUTE(SUBSTITUTE(SUBSTITUTE(SUBSTITUTE(SUBSTITUTE(SUBSTITUTE(SUBSTITUTE(SUBSTITUTE(SUBSTITUTE(SUBSTITUTE(LOWER(SUBSTITUTE(SUBSTITUTE(SUBSTITUTE(SUBSTITUTE(SUBSTITUTE(G6,"×","x"),"·",""),"−","-"),"–","-"),"^","")),"μ","u"),"µ","u")," ",""),"k1=",""),"k2=",""),"k3=",""),"kd=",""),"ka=",""),"k=",""),"°c",""),"m-1",""),"um",""),"mm",""))</f>
        <v/>
      </c>
      <c r="AI6">
        <f>TRIM(SUBSTITUTE(SUBSTITUTE(SUBSTITUTE(SUBSTITUTE(SUBSTITUTE(SUBSTITUTE(SUBSTITUTE(SUBSTITUTE(SUBSTITUTE(SUBSTITUTE(SUBSTITUTE(SUBSTITUTE(SUBSTITUTE(LOWER(SUBSTITUTE(SUBSTITUTE(SUBSTITUTE(SUBSTITUTE(SUBSTITUTE(H6,"×","x"),"·",""),"−","-"),"–","-"),"^","")),"μ","u"),"µ","u")," ",""),"k1=",""),"k2=",""),"k3=",""),"kd=",""),"ka=",""),"k=",""),"°c",""),"m-1",""),"um",""),"mm",""))</f>
        <v/>
      </c>
      <c r="AK6">
        <f>TRIM(SUBSTITUTE(SUBSTITUTE(SUBSTITUTE(SUBSTITUTE(SUBSTITUTE(SUBSTITUTE(SUBSTITUTE(SUBSTITUTE(SUBSTITUTE(SUBSTITUTE(SUBSTITUTE(SUBSTITUTE(SUBSTITUTE(LOWER(SUBSTITUTE(SUBSTITUTE(SUBSTITUTE(SUBSTITUTE(SUBSTITUTE(J6,"×","x"),"·",""),"−","-"),"–","-"),"^","")),"μ","u"),"µ","u")," ",""),"k1=",""),"k2=",""),"k3=",""),"kd=",""),"ka=",""),"k=",""),"°c",""),"m-1",""),"um",""),"mm",""))</f>
        <v/>
      </c>
      <c r="AL6">
        <f>TRIM(SUBSTITUTE(SUBSTITUTE(SUBSTITUTE(SUBSTITUTE(SUBSTITUTE(SUBSTITUTE(SUBSTITUTE(SUBSTITUTE(SUBSTITUTE(SUBSTITUTE(SUBSTITUTE(SUBSTITUTE(SUBSTITUTE(LOWER(SUBSTITUTE(SUBSTITUTE(SUBSTITUTE(SUBSTITUTE(SUBSTITUTE(K6,"×","x"),"·",""),"−","-"),"–","-"),"^","")),"μ","u"),"µ","u")," ",""),"k1=",""),"k2=",""),"k3=",""),"kd=",""),"ka=",""),"k=",""),"°c",""),"m-1",""),"um",""),"mm",""))</f>
        <v/>
      </c>
      <c r="AM6">
        <f>TRIM(SUBSTITUTE(SUBSTITUTE(SUBSTITUTE(SUBSTITUTE(SUBSTITUTE(SUBSTITUTE(SUBSTITUTE(SUBSTITUTE(SUBSTITUTE(SUBSTITUTE(SUBSTITUTE(SUBSTITUTE(SUBSTITUTE(LOWER(SUBSTITUTE(SUBSTITUTE(SUBSTITUTE(SUBSTITUTE(SUBSTITUTE(L6,"×","x"),"·",""),"−","-"),"–","-"),"^","")),"μ","u"),"µ","u")," ",""),"k1=",""),"k2=",""),"k3=",""),"kd=",""),"ka=",""),"k=",""),"°c",""),"m-1",""),"um",""),"mm",""))</f>
        <v/>
      </c>
      <c r="AN6">
        <f>TRIM(SUBSTITUTE(SUBSTITUTE(SUBSTITUTE(SUBSTITUTE(SUBSTITUTE(SUBSTITUTE(SUBSTITUTE(SUBSTITUTE(SUBSTITUTE(SUBSTITUTE(SUBSTITUTE(SUBSTITUTE(SUBSTITUTE(LOWER(SUBSTITUTE(SUBSTITUTE(SUBSTITUTE(SUBSTITUTE(SUBSTITUTE(M6,"×","x"),"·",""),"−","-"),"–","-"),"^","")),"μ","u"),"µ","u")," ",""),"k1=",""),"k2=",""),"k3=",""),"kd=",""),"ka=",""),"k=",""),"°c",""),"m-1",""),"um",""),"mm",""))</f>
        <v/>
      </c>
      <c r="AO6">
        <f>TRIM(SUBSTITUTE(SUBSTITUTE(SUBSTITUTE(SUBSTITUTE(SUBSTITUTE(SUBSTITUTE(SUBSTITUTE(SUBSTITUTE(SUBSTITUTE(SUBSTITUTE(SUBSTITUTE(SUBSTITUTE(SUBSTITUTE(LOWER(SUBSTITUTE(SUBSTITUTE(SUBSTITUTE(SUBSTITUTE(SUBSTITUTE(N6,"×","x"),"·",""),"−","-"),"–","-"),"^","")),"μ","u"),"µ","u")," ",""),"k1=",""),"k2=",""),"k3=",""),"kd=",""),"ka=",""),"k=",""),"°c",""),"m-1",""),"um",""),"mm",""))</f>
        <v/>
      </c>
      <c r="AP6">
        <f>TRIM(SUBSTITUTE(SUBSTITUTE(SUBSTITUTE(SUBSTITUTE(SUBSTITUTE(SUBSTITUTE(SUBSTITUTE(SUBSTITUTE(SUBSTITUTE(SUBSTITUTE(SUBSTITUTE(SUBSTITUTE(SUBSTITUTE(LOWER(SUBSTITUTE(SUBSTITUTE(SUBSTITUTE(SUBSTITUTE(SUBSTITUTE(O6,"×","x"),"·",""),"−","-"),"–","-"),"^","")),"μ","u"),"µ","u")," ",""),"k1=",""),"k2=",""),"k3=",""),"kd=",""),"ka=",""),"k=",""),"°c",""),"m-1",""),"um",""),"mm",""))</f>
        <v/>
      </c>
      <c r="AQ6">
        <f>TRIM(SUBSTITUTE(SUBSTITUTE(SUBSTITUTE(SUBSTITUTE(SUBSTITUTE(SUBSTITUTE(SUBSTITUTE(SUBSTITUTE(SUBSTITUTE(SUBSTITUTE(SUBSTITUTE(SUBSTITUTE(SUBSTITUTE(LOWER(SUBSTITUTE(SUBSTITUTE(SUBSTITUTE(SUBSTITUTE(SUBSTITUTE(P6,"×","x"),"·",""),"−","-"),"–","-"),"^","")),"μ","u"),"µ","u")," ",""),"k1=",""),"k2=",""),"k3=",""),"kd=",""),"ka=",""),"k=",""),"°c",""),"m-1",""),"um",""),"mm",""))</f>
        <v/>
      </c>
    </row>
    <row r="7">
      <c r="A7" s="10" t="n">
        <v>4</v>
      </c>
      <c r="B7" s="11" t="inlineStr">
        <is>
          <t>Bovine</t>
        </is>
      </c>
      <c r="C7" s="11" t="n">
        <v>4</v>
      </c>
      <c r="D7" s="11" t="inlineStr">
        <is>
          <t>TnC-TnI</t>
        </is>
      </c>
      <c r="E7" s="11" t="inlineStr">
        <is>
          <t>SC</t>
        </is>
      </c>
      <c r="F7" s="11" t="inlineStr">
        <is>
          <t>None</t>
        </is>
      </c>
      <c r="G7" s="11" t="inlineStr">
        <is>
          <t>1 x 10^6</t>
        </is>
      </c>
      <c r="H7" s="11" t="n">
        <v>1</v>
      </c>
      <c r="J7" s="12" t="n"/>
      <c r="K7" s="12" t="n"/>
      <c r="L7" s="12" t="n"/>
      <c r="M7" s="12" t="n"/>
      <c r="N7" s="12" t="n"/>
      <c r="O7" s="12" t="n"/>
      <c r="P7" s="12" t="n"/>
      <c r="R7" s="13">
        <f>IF(J7="",0,IF(EXACT($AC7,$AK7),1,IF(IFERROR(VALUE($AC7)=VALUE($AK7),FALSE),1,0)))</f>
        <v/>
      </c>
      <c r="S7" s="13">
        <f>IF(K7="",0,IF(EXACT($AD7,$AL7),1,IF(IFERROR(VALUE($AD7)=VALUE($AL7),FALSE),1,0)))</f>
        <v/>
      </c>
      <c r="T7" s="13">
        <f>IF(L7="",0,IF(EXACT($AE7,$AM7),1,IF(IFERROR(VALUE($AE7)=VALUE($AM7),FALSE),1,0)))</f>
        <v/>
      </c>
      <c r="U7" s="13">
        <f>IF(M7="",0,IF(EXACT($AF7,$AN7),1,IF(IFERROR(VALUE($AF7)=VALUE($AN7),FALSE),1,0)))</f>
        <v/>
      </c>
      <c r="V7" s="13">
        <f>IF(N7="",0,IF(EXACT($AG7,$AO7),1,IF(IFERROR(VALUE($AG7)=VALUE($AO7),FALSE),1,0)))</f>
        <v/>
      </c>
      <c r="W7" s="13">
        <f>IF(O7="",0,IF(EXACT($AH7,$AP7),1,IF(IFERROR(VALUE($AH7)=VALUE($AP7),FALSE),1,0)))</f>
        <v/>
      </c>
      <c r="X7" s="13">
        <f>IF(P7="",0,IF(EXACT($AI7,$AQ7),1,IF(IFERROR(VALUE($AI7)=VALUE($AQ7),FALSE),1,0)))</f>
        <v/>
      </c>
      <c r="Y7" s="13">
        <f>SUM(R7:X7)</f>
        <v/>
      </c>
      <c r="Z7" s="14" t="n"/>
      <c r="AA7" s="13">
        <f>IF(Z7="",Y7,Z7)</f>
        <v/>
      </c>
      <c r="AC7">
        <f>TRIM(SUBSTITUTE(SUBSTITUTE(SUBSTITUTE(SUBSTITUTE(SUBSTITUTE(SUBSTITUTE(SUBSTITUTE(SUBSTITUTE(SUBSTITUTE(SUBSTITUTE(SUBSTITUTE(SUBSTITUTE(SUBSTITUTE(LOWER(SUBSTITUTE(SUBSTITUTE(SUBSTITUTE(SUBSTITUTE(SUBSTITUTE(B7,"×","x"),"·",""),"−","-"),"–","-"),"^","")),"μ","u"),"µ","u")," ",""),"k1=",""),"k2=",""),"k3=",""),"kd=",""),"ka=",""),"k=",""),"°c",""),"m-1",""),"um",""),"mm",""))</f>
        <v/>
      </c>
      <c r="AD7">
        <f>TRIM(SUBSTITUTE(SUBSTITUTE(SUBSTITUTE(SUBSTITUTE(SUBSTITUTE(SUBSTITUTE(SUBSTITUTE(SUBSTITUTE(SUBSTITUTE(SUBSTITUTE(SUBSTITUTE(SUBSTITUTE(SUBSTITUTE(LOWER(SUBSTITUTE(SUBSTITUTE(SUBSTITUTE(SUBSTITUTE(SUBSTITUTE(C7,"×","x"),"·",""),"−","-"),"–","-"),"^","")),"μ","u"),"µ","u")," ",""),"k1=",""),"k2=",""),"k3=",""),"kd=",""),"ka=",""),"k=",""),"°c",""),"m-1",""),"um",""),"mm",""))</f>
        <v/>
      </c>
      <c r="AE7">
        <f>TRIM(SUBSTITUTE(SUBSTITUTE(SUBSTITUTE(SUBSTITUTE(SUBSTITUTE(SUBSTITUTE(SUBSTITUTE(SUBSTITUTE(SUBSTITUTE(SUBSTITUTE(SUBSTITUTE(SUBSTITUTE(SUBSTITUTE(LOWER(SUBSTITUTE(SUBSTITUTE(SUBSTITUTE(SUBSTITUTE(SUBSTITUTE(D7,"×","x"),"·",""),"−","-"),"–","-"),"^","")),"μ","u"),"µ","u")," ",""),"k1=",""),"k2=",""),"k3=",""),"kd=",""),"ka=",""),"k=",""),"°c",""),"m-1",""),"um",""),"mm",""))</f>
        <v/>
      </c>
      <c r="AF7">
        <f>TRIM(SUBSTITUTE(SUBSTITUTE(SUBSTITUTE(SUBSTITUTE(SUBSTITUTE(SUBSTITUTE(SUBSTITUTE(SUBSTITUTE(SUBSTITUTE(SUBSTITUTE(SUBSTITUTE(SUBSTITUTE(SUBSTITUTE(LOWER(SUBSTITUTE(SUBSTITUTE(SUBSTITUTE(SUBSTITUTE(SUBSTITUTE(E7,"×","x"),"·",""),"−","-"),"–","-"),"^","")),"μ","u"),"µ","u")," ",""),"k1=",""),"k2=",""),"k3=",""),"kd=",""),"ka=",""),"k=",""),"°c",""),"m-1",""),"um",""),"mm",""))</f>
        <v/>
      </c>
      <c r="AG7">
        <f>TRIM(SUBSTITUTE(SUBSTITUTE(SUBSTITUTE(SUBSTITUTE(SUBSTITUTE(SUBSTITUTE(SUBSTITUTE(SUBSTITUTE(SUBSTITUTE(SUBSTITUTE(SUBSTITUTE(SUBSTITUTE(SUBSTITUTE(LOWER(SUBSTITUTE(SUBSTITUTE(SUBSTITUTE(SUBSTITUTE(SUBSTITUTE(F7,"×","x"),"·",""),"−","-"),"–","-"),"^","")),"μ","u"),"µ","u")," ",""),"k1=",""),"k2=",""),"k3=",""),"kd=",""),"ka=",""),"k=",""),"°c",""),"m-1",""),"um",""),"mm",""))</f>
        <v/>
      </c>
      <c r="AH7">
        <f>TRIM(SUBSTITUTE(SUBSTITUTE(SUBSTITUTE(SUBSTITUTE(SUBSTITUTE(SUBSTITUTE(SUBSTITUTE(SUBSTITUTE(SUBSTITUTE(SUBSTITUTE(SUBSTITUTE(SUBSTITUTE(SUBSTITUTE(LOWER(SUBSTITUTE(SUBSTITUTE(SUBSTITUTE(SUBSTITUTE(SUBSTITUTE(G7,"×","x"),"·",""),"−","-"),"–","-"),"^","")),"μ","u"),"µ","u")," ",""),"k1=",""),"k2=",""),"k3=",""),"kd=",""),"ka=",""),"k=",""),"°c",""),"m-1",""),"um",""),"mm",""))</f>
        <v/>
      </c>
      <c r="AI7">
        <f>TRIM(SUBSTITUTE(SUBSTITUTE(SUBSTITUTE(SUBSTITUTE(SUBSTITUTE(SUBSTITUTE(SUBSTITUTE(SUBSTITUTE(SUBSTITUTE(SUBSTITUTE(SUBSTITUTE(SUBSTITUTE(SUBSTITUTE(LOWER(SUBSTITUTE(SUBSTITUTE(SUBSTITUTE(SUBSTITUTE(SUBSTITUTE(H7,"×","x"),"·",""),"−","-"),"–","-"),"^","")),"μ","u"),"µ","u")," ",""),"k1=",""),"k2=",""),"k3=",""),"kd=",""),"ka=",""),"k=",""),"°c",""),"m-1",""),"um",""),"mm",""))</f>
        <v/>
      </c>
      <c r="AK7">
        <f>TRIM(SUBSTITUTE(SUBSTITUTE(SUBSTITUTE(SUBSTITUTE(SUBSTITUTE(SUBSTITUTE(SUBSTITUTE(SUBSTITUTE(SUBSTITUTE(SUBSTITUTE(SUBSTITUTE(SUBSTITUTE(SUBSTITUTE(LOWER(SUBSTITUTE(SUBSTITUTE(SUBSTITUTE(SUBSTITUTE(SUBSTITUTE(J7,"×","x"),"·",""),"−","-"),"–","-"),"^","")),"μ","u"),"µ","u")," ",""),"k1=",""),"k2=",""),"k3=",""),"kd=",""),"ka=",""),"k=",""),"°c",""),"m-1",""),"um",""),"mm",""))</f>
        <v/>
      </c>
      <c r="AL7">
        <f>TRIM(SUBSTITUTE(SUBSTITUTE(SUBSTITUTE(SUBSTITUTE(SUBSTITUTE(SUBSTITUTE(SUBSTITUTE(SUBSTITUTE(SUBSTITUTE(SUBSTITUTE(SUBSTITUTE(SUBSTITUTE(SUBSTITUTE(LOWER(SUBSTITUTE(SUBSTITUTE(SUBSTITUTE(SUBSTITUTE(SUBSTITUTE(K7,"×","x"),"·",""),"−","-"),"–","-"),"^","")),"μ","u"),"µ","u")," ",""),"k1=",""),"k2=",""),"k3=",""),"kd=",""),"ka=",""),"k=",""),"°c",""),"m-1",""),"um",""),"mm",""))</f>
        <v/>
      </c>
      <c r="AM7">
        <f>TRIM(SUBSTITUTE(SUBSTITUTE(SUBSTITUTE(SUBSTITUTE(SUBSTITUTE(SUBSTITUTE(SUBSTITUTE(SUBSTITUTE(SUBSTITUTE(SUBSTITUTE(SUBSTITUTE(SUBSTITUTE(SUBSTITUTE(LOWER(SUBSTITUTE(SUBSTITUTE(SUBSTITUTE(SUBSTITUTE(SUBSTITUTE(L7,"×","x"),"·",""),"−","-"),"–","-"),"^","")),"μ","u"),"µ","u")," ",""),"k1=",""),"k2=",""),"k3=",""),"kd=",""),"ka=",""),"k=",""),"°c",""),"m-1",""),"um",""),"mm",""))</f>
        <v/>
      </c>
      <c r="AN7">
        <f>TRIM(SUBSTITUTE(SUBSTITUTE(SUBSTITUTE(SUBSTITUTE(SUBSTITUTE(SUBSTITUTE(SUBSTITUTE(SUBSTITUTE(SUBSTITUTE(SUBSTITUTE(SUBSTITUTE(SUBSTITUTE(SUBSTITUTE(LOWER(SUBSTITUTE(SUBSTITUTE(SUBSTITUTE(SUBSTITUTE(SUBSTITUTE(M7,"×","x"),"·",""),"−","-"),"–","-"),"^","")),"μ","u"),"µ","u")," ",""),"k1=",""),"k2=",""),"k3=",""),"kd=",""),"ka=",""),"k=",""),"°c",""),"m-1",""),"um",""),"mm",""))</f>
        <v/>
      </c>
      <c r="AO7">
        <f>TRIM(SUBSTITUTE(SUBSTITUTE(SUBSTITUTE(SUBSTITUTE(SUBSTITUTE(SUBSTITUTE(SUBSTITUTE(SUBSTITUTE(SUBSTITUTE(SUBSTITUTE(SUBSTITUTE(SUBSTITUTE(SUBSTITUTE(LOWER(SUBSTITUTE(SUBSTITUTE(SUBSTITUTE(SUBSTITUTE(SUBSTITUTE(N7,"×","x"),"·",""),"−","-"),"–","-"),"^","")),"μ","u"),"µ","u")," ",""),"k1=",""),"k2=",""),"k3=",""),"kd=",""),"ka=",""),"k=",""),"°c",""),"m-1",""),"um",""),"mm",""))</f>
        <v/>
      </c>
      <c r="AP7">
        <f>TRIM(SUBSTITUTE(SUBSTITUTE(SUBSTITUTE(SUBSTITUTE(SUBSTITUTE(SUBSTITUTE(SUBSTITUTE(SUBSTITUTE(SUBSTITUTE(SUBSTITUTE(SUBSTITUTE(SUBSTITUTE(SUBSTITUTE(LOWER(SUBSTITUTE(SUBSTITUTE(SUBSTITUTE(SUBSTITUTE(SUBSTITUTE(O7,"×","x"),"·",""),"−","-"),"–","-"),"^","")),"μ","u"),"µ","u")," ",""),"k1=",""),"k2=",""),"k3=",""),"kd=",""),"ka=",""),"k=",""),"°c",""),"m-1",""),"um",""),"mm",""))</f>
        <v/>
      </c>
      <c r="AQ7">
        <f>TRIM(SUBSTITUTE(SUBSTITUTE(SUBSTITUTE(SUBSTITUTE(SUBSTITUTE(SUBSTITUTE(SUBSTITUTE(SUBSTITUTE(SUBSTITUTE(SUBSTITUTE(SUBSTITUTE(SUBSTITUTE(SUBSTITUTE(LOWER(SUBSTITUTE(SUBSTITUTE(SUBSTITUTE(SUBSTITUTE(SUBSTITUTE(P7,"×","x"),"·",""),"−","-"),"–","-"),"^","")),"μ","u"),"µ","u")," ",""),"k1=",""),"k2=",""),"k3=",""),"kd=",""),"ka=",""),"k=",""),"°c",""),"m-1",""),"um",""),"mm",""))</f>
        <v/>
      </c>
    </row>
    <row r="8">
      <c r="A8" s="10" t="n">
        <v>5</v>
      </c>
      <c r="B8" s="11" t="inlineStr">
        <is>
          <t>Bovine</t>
        </is>
      </c>
      <c r="C8" s="11" t="n">
        <v>4</v>
      </c>
      <c r="D8" s="11" t="inlineStr">
        <is>
          <t>Tn</t>
        </is>
      </c>
      <c r="E8" s="11" t="inlineStr">
        <is>
          <t>SC</t>
        </is>
      </c>
      <c r="F8" s="11" t="inlineStr">
        <is>
          <t>None</t>
        </is>
      </c>
      <c r="G8" s="11" t="inlineStr">
        <is>
          <t>2.5 x 10^6</t>
        </is>
      </c>
      <c r="H8" s="11" t="n">
        <v>0.4</v>
      </c>
      <c r="J8" s="12" t="n"/>
      <c r="K8" s="12" t="n"/>
      <c r="L8" s="12" t="n"/>
      <c r="M8" s="12" t="n"/>
      <c r="N8" s="12" t="n"/>
      <c r="O8" s="12" t="n"/>
      <c r="P8" s="12" t="n"/>
      <c r="R8" s="13">
        <f>IF(J8="",0,IF(EXACT($AC8,$AK8),1,IF(IFERROR(VALUE($AC8)=VALUE($AK8),FALSE),1,0)))</f>
        <v/>
      </c>
      <c r="S8" s="13">
        <f>IF(K8="",0,IF(EXACT($AD8,$AL8),1,IF(IFERROR(VALUE($AD8)=VALUE($AL8),FALSE),1,0)))</f>
        <v/>
      </c>
      <c r="T8" s="13">
        <f>IF(L8="",0,IF(EXACT($AE8,$AM8),1,IF(IFERROR(VALUE($AE8)=VALUE($AM8),FALSE),1,0)))</f>
        <v/>
      </c>
      <c r="U8" s="13">
        <f>IF(M8="",0,IF(EXACT($AF8,$AN8),1,IF(IFERROR(VALUE($AF8)=VALUE($AN8),FALSE),1,0)))</f>
        <v/>
      </c>
      <c r="V8" s="13">
        <f>IF(N8="",0,IF(EXACT($AG8,$AO8),1,IF(IFERROR(VALUE($AG8)=VALUE($AO8),FALSE),1,0)))</f>
        <v/>
      </c>
      <c r="W8" s="13">
        <f>IF(O8="",0,IF(EXACT($AH8,$AP8),1,IF(IFERROR(VALUE($AH8)=VALUE($AP8),FALSE),1,0)))</f>
        <v/>
      </c>
      <c r="X8" s="13">
        <f>IF(P8="",0,IF(EXACT($AI8,$AQ8),1,IF(IFERROR(VALUE($AI8)=VALUE($AQ8),FALSE),1,0)))</f>
        <v/>
      </c>
      <c r="Y8" s="13">
        <f>SUM(R8:X8)</f>
        <v/>
      </c>
      <c r="Z8" s="14" t="n"/>
      <c r="AA8" s="13">
        <f>IF(Z8="",Y8,Z8)</f>
        <v/>
      </c>
      <c r="AC8">
        <f>TRIM(SUBSTITUTE(SUBSTITUTE(SUBSTITUTE(SUBSTITUTE(SUBSTITUTE(SUBSTITUTE(SUBSTITUTE(SUBSTITUTE(SUBSTITUTE(SUBSTITUTE(SUBSTITUTE(SUBSTITUTE(SUBSTITUTE(LOWER(SUBSTITUTE(SUBSTITUTE(SUBSTITUTE(SUBSTITUTE(SUBSTITUTE(B8,"×","x"),"·",""),"−","-"),"–","-"),"^","")),"μ","u"),"µ","u")," ",""),"k1=",""),"k2=",""),"k3=",""),"kd=",""),"ka=",""),"k=",""),"°c",""),"m-1",""),"um",""),"mm",""))</f>
        <v/>
      </c>
      <c r="AD8">
        <f>TRIM(SUBSTITUTE(SUBSTITUTE(SUBSTITUTE(SUBSTITUTE(SUBSTITUTE(SUBSTITUTE(SUBSTITUTE(SUBSTITUTE(SUBSTITUTE(SUBSTITUTE(SUBSTITUTE(SUBSTITUTE(SUBSTITUTE(LOWER(SUBSTITUTE(SUBSTITUTE(SUBSTITUTE(SUBSTITUTE(SUBSTITUTE(C8,"×","x"),"·",""),"−","-"),"–","-"),"^","")),"μ","u"),"µ","u")," ",""),"k1=",""),"k2=",""),"k3=",""),"kd=",""),"ka=",""),"k=",""),"°c",""),"m-1",""),"um",""),"mm",""))</f>
        <v/>
      </c>
      <c r="AE8">
        <f>TRIM(SUBSTITUTE(SUBSTITUTE(SUBSTITUTE(SUBSTITUTE(SUBSTITUTE(SUBSTITUTE(SUBSTITUTE(SUBSTITUTE(SUBSTITUTE(SUBSTITUTE(SUBSTITUTE(SUBSTITUTE(SUBSTITUTE(LOWER(SUBSTITUTE(SUBSTITUTE(SUBSTITUTE(SUBSTITUTE(SUBSTITUTE(D8,"×","x"),"·",""),"−","-"),"–","-"),"^","")),"μ","u"),"µ","u")," ",""),"k1=",""),"k2=",""),"k3=",""),"kd=",""),"ka=",""),"k=",""),"°c",""),"m-1",""),"um",""),"mm",""))</f>
        <v/>
      </c>
      <c r="AF8">
        <f>TRIM(SUBSTITUTE(SUBSTITUTE(SUBSTITUTE(SUBSTITUTE(SUBSTITUTE(SUBSTITUTE(SUBSTITUTE(SUBSTITUTE(SUBSTITUTE(SUBSTITUTE(SUBSTITUTE(SUBSTITUTE(SUBSTITUTE(LOWER(SUBSTITUTE(SUBSTITUTE(SUBSTITUTE(SUBSTITUTE(SUBSTITUTE(E8,"×","x"),"·",""),"−","-"),"–","-"),"^","")),"μ","u"),"µ","u")," ",""),"k1=",""),"k2=",""),"k3=",""),"kd=",""),"ka=",""),"k=",""),"°c",""),"m-1",""),"um",""),"mm",""))</f>
        <v/>
      </c>
      <c r="AG8">
        <f>TRIM(SUBSTITUTE(SUBSTITUTE(SUBSTITUTE(SUBSTITUTE(SUBSTITUTE(SUBSTITUTE(SUBSTITUTE(SUBSTITUTE(SUBSTITUTE(SUBSTITUTE(SUBSTITUTE(SUBSTITUTE(SUBSTITUTE(LOWER(SUBSTITUTE(SUBSTITUTE(SUBSTITUTE(SUBSTITUTE(SUBSTITUTE(F8,"×","x"),"·",""),"−","-"),"–","-"),"^","")),"μ","u"),"µ","u")," ",""),"k1=",""),"k2=",""),"k3=",""),"kd=",""),"ka=",""),"k=",""),"°c",""),"m-1",""),"um",""),"mm",""))</f>
        <v/>
      </c>
      <c r="AH8">
        <f>TRIM(SUBSTITUTE(SUBSTITUTE(SUBSTITUTE(SUBSTITUTE(SUBSTITUTE(SUBSTITUTE(SUBSTITUTE(SUBSTITUTE(SUBSTITUTE(SUBSTITUTE(SUBSTITUTE(SUBSTITUTE(SUBSTITUTE(LOWER(SUBSTITUTE(SUBSTITUTE(SUBSTITUTE(SUBSTITUTE(SUBSTITUTE(G8,"×","x"),"·",""),"−","-"),"–","-"),"^","")),"μ","u"),"µ","u")," ",""),"k1=",""),"k2=",""),"k3=",""),"kd=",""),"ka=",""),"k=",""),"°c",""),"m-1",""),"um",""),"mm",""))</f>
        <v/>
      </c>
      <c r="AI8">
        <f>TRIM(SUBSTITUTE(SUBSTITUTE(SUBSTITUTE(SUBSTITUTE(SUBSTITUTE(SUBSTITUTE(SUBSTITUTE(SUBSTITUTE(SUBSTITUTE(SUBSTITUTE(SUBSTITUTE(SUBSTITUTE(SUBSTITUTE(LOWER(SUBSTITUTE(SUBSTITUTE(SUBSTITUTE(SUBSTITUTE(SUBSTITUTE(H8,"×","x"),"·",""),"−","-"),"–","-"),"^","")),"μ","u"),"µ","u")," ",""),"k1=",""),"k2=",""),"k3=",""),"kd=",""),"ka=",""),"k=",""),"°c",""),"m-1",""),"um",""),"mm",""))</f>
        <v/>
      </c>
      <c r="AK8">
        <f>TRIM(SUBSTITUTE(SUBSTITUTE(SUBSTITUTE(SUBSTITUTE(SUBSTITUTE(SUBSTITUTE(SUBSTITUTE(SUBSTITUTE(SUBSTITUTE(SUBSTITUTE(SUBSTITUTE(SUBSTITUTE(SUBSTITUTE(LOWER(SUBSTITUTE(SUBSTITUTE(SUBSTITUTE(SUBSTITUTE(SUBSTITUTE(J8,"×","x"),"·",""),"−","-"),"–","-"),"^","")),"μ","u"),"µ","u")," ",""),"k1=",""),"k2=",""),"k3=",""),"kd=",""),"ka=",""),"k=",""),"°c",""),"m-1",""),"um",""),"mm",""))</f>
        <v/>
      </c>
      <c r="AL8">
        <f>TRIM(SUBSTITUTE(SUBSTITUTE(SUBSTITUTE(SUBSTITUTE(SUBSTITUTE(SUBSTITUTE(SUBSTITUTE(SUBSTITUTE(SUBSTITUTE(SUBSTITUTE(SUBSTITUTE(SUBSTITUTE(SUBSTITUTE(LOWER(SUBSTITUTE(SUBSTITUTE(SUBSTITUTE(SUBSTITUTE(SUBSTITUTE(K8,"×","x"),"·",""),"−","-"),"–","-"),"^","")),"μ","u"),"µ","u")," ",""),"k1=",""),"k2=",""),"k3=",""),"kd=",""),"ka=",""),"k=",""),"°c",""),"m-1",""),"um",""),"mm",""))</f>
        <v/>
      </c>
      <c r="AM8">
        <f>TRIM(SUBSTITUTE(SUBSTITUTE(SUBSTITUTE(SUBSTITUTE(SUBSTITUTE(SUBSTITUTE(SUBSTITUTE(SUBSTITUTE(SUBSTITUTE(SUBSTITUTE(SUBSTITUTE(SUBSTITUTE(SUBSTITUTE(LOWER(SUBSTITUTE(SUBSTITUTE(SUBSTITUTE(SUBSTITUTE(SUBSTITUTE(L8,"×","x"),"·",""),"−","-"),"–","-"),"^","")),"μ","u"),"µ","u")," ",""),"k1=",""),"k2=",""),"k3=",""),"kd=",""),"ka=",""),"k=",""),"°c",""),"m-1",""),"um",""),"mm",""))</f>
        <v/>
      </c>
      <c r="AN8">
        <f>TRIM(SUBSTITUTE(SUBSTITUTE(SUBSTITUTE(SUBSTITUTE(SUBSTITUTE(SUBSTITUTE(SUBSTITUTE(SUBSTITUTE(SUBSTITUTE(SUBSTITUTE(SUBSTITUTE(SUBSTITUTE(SUBSTITUTE(LOWER(SUBSTITUTE(SUBSTITUTE(SUBSTITUTE(SUBSTITUTE(SUBSTITUTE(M8,"×","x"),"·",""),"−","-"),"–","-"),"^","")),"μ","u"),"µ","u")," ",""),"k1=",""),"k2=",""),"k3=",""),"kd=",""),"ka=",""),"k=",""),"°c",""),"m-1",""),"um",""),"mm",""))</f>
        <v/>
      </c>
      <c r="AO8">
        <f>TRIM(SUBSTITUTE(SUBSTITUTE(SUBSTITUTE(SUBSTITUTE(SUBSTITUTE(SUBSTITUTE(SUBSTITUTE(SUBSTITUTE(SUBSTITUTE(SUBSTITUTE(SUBSTITUTE(SUBSTITUTE(SUBSTITUTE(LOWER(SUBSTITUTE(SUBSTITUTE(SUBSTITUTE(SUBSTITUTE(SUBSTITUTE(N8,"×","x"),"·",""),"−","-"),"–","-"),"^","")),"μ","u"),"µ","u")," ",""),"k1=",""),"k2=",""),"k3=",""),"kd=",""),"ka=",""),"k=",""),"°c",""),"m-1",""),"um",""),"mm",""))</f>
        <v/>
      </c>
      <c r="AP8">
        <f>TRIM(SUBSTITUTE(SUBSTITUTE(SUBSTITUTE(SUBSTITUTE(SUBSTITUTE(SUBSTITUTE(SUBSTITUTE(SUBSTITUTE(SUBSTITUTE(SUBSTITUTE(SUBSTITUTE(SUBSTITUTE(SUBSTITUTE(LOWER(SUBSTITUTE(SUBSTITUTE(SUBSTITUTE(SUBSTITUTE(SUBSTITUTE(O8,"×","x"),"·",""),"−","-"),"–","-"),"^","")),"μ","u"),"µ","u")," ",""),"k1=",""),"k2=",""),"k3=",""),"kd=",""),"ka=",""),"k=",""),"°c",""),"m-1",""),"um",""),"mm",""))</f>
        <v/>
      </c>
      <c r="AQ8">
        <f>TRIM(SUBSTITUTE(SUBSTITUTE(SUBSTITUTE(SUBSTITUTE(SUBSTITUTE(SUBSTITUTE(SUBSTITUTE(SUBSTITUTE(SUBSTITUTE(SUBSTITUTE(SUBSTITUTE(SUBSTITUTE(SUBSTITUTE(LOWER(SUBSTITUTE(SUBSTITUTE(SUBSTITUTE(SUBSTITUTE(SUBSTITUTE(P8,"×","x"),"·",""),"−","-"),"–","-"),"^","")),"μ","u"),"µ","u")," ",""),"k1=",""),"k2=",""),"k3=",""),"kd=",""),"ka=",""),"k=",""),"°c",""),"m-1",""),"um",""),"mm",""))</f>
        <v/>
      </c>
    </row>
    <row r="9">
      <c r="A9" s="10" t="n">
        <v>6</v>
      </c>
      <c r="B9" s="11" t="inlineStr">
        <is>
          <t>Bovine</t>
        </is>
      </c>
      <c r="C9" s="11" t="n">
        <v>4</v>
      </c>
      <c r="D9" s="11" t="inlineStr">
        <is>
          <t>Tn</t>
        </is>
      </c>
      <c r="E9" s="11" t="inlineStr">
        <is>
          <t>SC</t>
        </is>
      </c>
      <c r="F9" s="11" t="n">
        <v>4</v>
      </c>
      <c r="G9" s="11" t="inlineStr">
        <is>
          <t>2.5 x 10^6</t>
        </is>
      </c>
      <c r="H9" s="11" t="n">
        <v>0.4</v>
      </c>
      <c r="J9" s="12" t="n"/>
      <c r="K9" s="12" t="n"/>
      <c r="L9" s="12" t="n"/>
      <c r="M9" s="12" t="n"/>
      <c r="N9" s="12" t="n"/>
      <c r="O9" s="12" t="n"/>
      <c r="P9" s="12" t="n"/>
      <c r="R9" s="13">
        <f>IF(J9="",0,IF(EXACT($AC9,$AK9),1,IF(IFERROR(VALUE($AC9)=VALUE($AK9),FALSE),1,0)))</f>
        <v/>
      </c>
      <c r="S9" s="13">
        <f>IF(K9="",0,IF(EXACT($AD9,$AL9),1,IF(IFERROR(VALUE($AD9)=VALUE($AL9),FALSE),1,0)))</f>
        <v/>
      </c>
      <c r="T9" s="13">
        <f>IF(L9="",0,IF(EXACT($AE9,$AM9),1,IF(IFERROR(VALUE($AE9)=VALUE($AM9),FALSE),1,0)))</f>
        <v/>
      </c>
      <c r="U9" s="13">
        <f>IF(M9="",0,IF(EXACT($AF9,$AN9),1,IF(IFERROR(VALUE($AF9)=VALUE($AN9),FALSE),1,0)))</f>
        <v/>
      </c>
      <c r="V9" s="13">
        <f>IF(N9="",0,IF(EXACT($AG9,$AO9),1,IF(IFERROR(VALUE($AG9)=VALUE($AO9),FALSE),1,0)))</f>
        <v/>
      </c>
      <c r="W9" s="13">
        <f>IF(O9="",0,IF(EXACT($AH9,$AP9),1,IF(IFERROR(VALUE($AH9)=VALUE($AP9),FALSE),1,0)))</f>
        <v/>
      </c>
      <c r="X9" s="13">
        <f>IF(P9="",0,IF(EXACT($AI9,$AQ9),1,IF(IFERROR(VALUE($AI9)=VALUE($AQ9),FALSE),1,0)))</f>
        <v/>
      </c>
      <c r="Y9" s="13">
        <f>SUM(R9:X9)</f>
        <v/>
      </c>
      <c r="Z9" s="14" t="n"/>
      <c r="AA9" s="13">
        <f>IF(Z9="",Y9,Z9)</f>
        <v/>
      </c>
      <c r="AC9">
        <f>TRIM(SUBSTITUTE(SUBSTITUTE(SUBSTITUTE(SUBSTITUTE(SUBSTITUTE(SUBSTITUTE(SUBSTITUTE(SUBSTITUTE(SUBSTITUTE(SUBSTITUTE(SUBSTITUTE(SUBSTITUTE(SUBSTITUTE(LOWER(SUBSTITUTE(SUBSTITUTE(SUBSTITUTE(SUBSTITUTE(SUBSTITUTE(B9,"×","x"),"·",""),"−","-"),"–","-"),"^","")),"μ","u"),"µ","u")," ",""),"k1=",""),"k2=",""),"k3=",""),"kd=",""),"ka=",""),"k=",""),"°c",""),"m-1",""),"um",""),"mm",""))</f>
        <v/>
      </c>
      <c r="AD9">
        <f>TRIM(SUBSTITUTE(SUBSTITUTE(SUBSTITUTE(SUBSTITUTE(SUBSTITUTE(SUBSTITUTE(SUBSTITUTE(SUBSTITUTE(SUBSTITUTE(SUBSTITUTE(SUBSTITUTE(SUBSTITUTE(SUBSTITUTE(LOWER(SUBSTITUTE(SUBSTITUTE(SUBSTITUTE(SUBSTITUTE(SUBSTITUTE(C9,"×","x"),"·",""),"−","-"),"–","-"),"^","")),"μ","u"),"µ","u")," ",""),"k1=",""),"k2=",""),"k3=",""),"kd=",""),"ka=",""),"k=",""),"°c",""),"m-1",""),"um",""),"mm",""))</f>
        <v/>
      </c>
      <c r="AE9">
        <f>TRIM(SUBSTITUTE(SUBSTITUTE(SUBSTITUTE(SUBSTITUTE(SUBSTITUTE(SUBSTITUTE(SUBSTITUTE(SUBSTITUTE(SUBSTITUTE(SUBSTITUTE(SUBSTITUTE(SUBSTITUTE(SUBSTITUTE(LOWER(SUBSTITUTE(SUBSTITUTE(SUBSTITUTE(SUBSTITUTE(SUBSTITUTE(D9,"×","x"),"·",""),"−","-"),"–","-"),"^","")),"μ","u"),"µ","u")," ",""),"k1=",""),"k2=",""),"k3=",""),"kd=",""),"ka=",""),"k=",""),"°c",""),"m-1",""),"um",""),"mm",""))</f>
        <v/>
      </c>
      <c r="AF9">
        <f>TRIM(SUBSTITUTE(SUBSTITUTE(SUBSTITUTE(SUBSTITUTE(SUBSTITUTE(SUBSTITUTE(SUBSTITUTE(SUBSTITUTE(SUBSTITUTE(SUBSTITUTE(SUBSTITUTE(SUBSTITUTE(SUBSTITUTE(LOWER(SUBSTITUTE(SUBSTITUTE(SUBSTITUTE(SUBSTITUTE(SUBSTITUTE(E9,"×","x"),"·",""),"−","-"),"–","-"),"^","")),"μ","u"),"µ","u")," ",""),"k1=",""),"k2=",""),"k3=",""),"kd=",""),"ka=",""),"k=",""),"°c",""),"m-1",""),"um",""),"mm",""))</f>
        <v/>
      </c>
      <c r="AG9">
        <f>TRIM(SUBSTITUTE(SUBSTITUTE(SUBSTITUTE(SUBSTITUTE(SUBSTITUTE(SUBSTITUTE(SUBSTITUTE(SUBSTITUTE(SUBSTITUTE(SUBSTITUTE(SUBSTITUTE(SUBSTITUTE(SUBSTITUTE(LOWER(SUBSTITUTE(SUBSTITUTE(SUBSTITUTE(SUBSTITUTE(SUBSTITUTE(F9,"×","x"),"·",""),"−","-"),"–","-"),"^","")),"μ","u"),"µ","u")," ",""),"k1=",""),"k2=",""),"k3=",""),"kd=",""),"ka=",""),"k=",""),"°c",""),"m-1",""),"um",""),"mm",""))</f>
        <v/>
      </c>
      <c r="AH9">
        <f>TRIM(SUBSTITUTE(SUBSTITUTE(SUBSTITUTE(SUBSTITUTE(SUBSTITUTE(SUBSTITUTE(SUBSTITUTE(SUBSTITUTE(SUBSTITUTE(SUBSTITUTE(SUBSTITUTE(SUBSTITUTE(SUBSTITUTE(LOWER(SUBSTITUTE(SUBSTITUTE(SUBSTITUTE(SUBSTITUTE(SUBSTITUTE(G9,"×","x"),"·",""),"−","-"),"–","-"),"^","")),"μ","u"),"µ","u")," ",""),"k1=",""),"k2=",""),"k3=",""),"kd=",""),"ka=",""),"k=",""),"°c",""),"m-1",""),"um",""),"mm",""))</f>
        <v/>
      </c>
      <c r="AI9">
        <f>TRIM(SUBSTITUTE(SUBSTITUTE(SUBSTITUTE(SUBSTITUTE(SUBSTITUTE(SUBSTITUTE(SUBSTITUTE(SUBSTITUTE(SUBSTITUTE(SUBSTITUTE(SUBSTITUTE(SUBSTITUTE(SUBSTITUTE(LOWER(SUBSTITUTE(SUBSTITUTE(SUBSTITUTE(SUBSTITUTE(SUBSTITUTE(H9,"×","x"),"·",""),"−","-"),"–","-"),"^","")),"μ","u"),"µ","u")," ",""),"k1=",""),"k2=",""),"k3=",""),"kd=",""),"ka=",""),"k=",""),"°c",""),"m-1",""),"um",""),"mm",""))</f>
        <v/>
      </c>
      <c r="AK9">
        <f>TRIM(SUBSTITUTE(SUBSTITUTE(SUBSTITUTE(SUBSTITUTE(SUBSTITUTE(SUBSTITUTE(SUBSTITUTE(SUBSTITUTE(SUBSTITUTE(SUBSTITUTE(SUBSTITUTE(SUBSTITUTE(SUBSTITUTE(LOWER(SUBSTITUTE(SUBSTITUTE(SUBSTITUTE(SUBSTITUTE(SUBSTITUTE(J9,"×","x"),"·",""),"−","-"),"–","-"),"^","")),"μ","u"),"µ","u")," ",""),"k1=",""),"k2=",""),"k3=",""),"kd=",""),"ka=",""),"k=",""),"°c",""),"m-1",""),"um",""),"mm",""))</f>
        <v/>
      </c>
      <c r="AL9">
        <f>TRIM(SUBSTITUTE(SUBSTITUTE(SUBSTITUTE(SUBSTITUTE(SUBSTITUTE(SUBSTITUTE(SUBSTITUTE(SUBSTITUTE(SUBSTITUTE(SUBSTITUTE(SUBSTITUTE(SUBSTITUTE(SUBSTITUTE(LOWER(SUBSTITUTE(SUBSTITUTE(SUBSTITUTE(SUBSTITUTE(SUBSTITUTE(K9,"×","x"),"·",""),"−","-"),"–","-"),"^","")),"μ","u"),"µ","u")," ",""),"k1=",""),"k2=",""),"k3=",""),"kd=",""),"ka=",""),"k=",""),"°c",""),"m-1",""),"um",""),"mm",""))</f>
        <v/>
      </c>
      <c r="AM9">
        <f>TRIM(SUBSTITUTE(SUBSTITUTE(SUBSTITUTE(SUBSTITUTE(SUBSTITUTE(SUBSTITUTE(SUBSTITUTE(SUBSTITUTE(SUBSTITUTE(SUBSTITUTE(SUBSTITUTE(SUBSTITUTE(SUBSTITUTE(LOWER(SUBSTITUTE(SUBSTITUTE(SUBSTITUTE(SUBSTITUTE(SUBSTITUTE(L9,"×","x"),"·",""),"−","-"),"–","-"),"^","")),"μ","u"),"µ","u")," ",""),"k1=",""),"k2=",""),"k3=",""),"kd=",""),"ka=",""),"k=",""),"°c",""),"m-1",""),"um",""),"mm",""))</f>
        <v/>
      </c>
      <c r="AN9">
        <f>TRIM(SUBSTITUTE(SUBSTITUTE(SUBSTITUTE(SUBSTITUTE(SUBSTITUTE(SUBSTITUTE(SUBSTITUTE(SUBSTITUTE(SUBSTITUTE(SUBSTITUTE(SUBSTITUTE(SUBSTITUTE(SUBSTITUTE(LOWER(SUBSTITUTE(SUBSTITUTE(SUBSTITUTE(SUBSTITUTE(SUBSTITUTE(M9,"×","x"),"·",""),"−","-"),"–","-"),"^","")),"μ","u"),"µ","u")," ",""),"k1=",""),"k2=",""),"k3=",""),"kd=",""),"ka=",""),"k=",""),"°c",""),"m-1",""),"um",""),"mm",""))</f>
        <v/>
      </c>
      <c r="AO9">
        <f>TRIM(SUBSTITUTE(SUBSTITUTE(SUBSTITUTE(SUBSTITUTE(SUBSTITUTE(SUBSTITUTE(SUBSTITUTE(SUBSTITUTE(SUBSTITUTE(SUBSTITUTE(SUBSTITUTE(SUBSTITUTE(SUBSTITUTE(LOWER(SUBSTITUTE(SUBSTITUTE(SUBSTITUTE(SUBSTITUTE(SUBSTITUTE(N9,"×","x"),"·",""),"−","-"),"–","-"),"^","")),"μ","u"),"µ","u")," ",""),"k1=",""),"k2=",""),"k3=",""),"kd=",""),"ka=",""),"k=",""),"°c",""),"m-1",""),"um",""),"mm",""))</f>
        <v/>
      </c>
      <c r="AP9">
        <f>TRIM(SUBSTITUTE(SUBSTITUTE(SUBSTITUTE(SUBSTITUTE(SUBSTITUTE(SUBSTITUTE(SUBSTITUTE(SUBSTITUTE(SUBSTITUTE(SUBSTITUTE(SUBSTITUTE(SUBSTITUTE(SUBSTITUTE(LOWER(SUBSTITUTE(SUBSTITUTE(SUBSTITUTE(SUBSTITUTE(SUBSTITUTE(O9,"×","x"),"·",""),"−","-"),"–","-"),"^","")),"μ","u"),"µ","u")," ",""),"k1=",""),"k2=",""),"k3=",""),"kd=",""),"ka=",""),"k=",""),"°c",""),"m-1",""),"um",""),"mm",""))</f>
        <v/>
      </c>
      <c r="AQ9">
        <f>TRIM(SUBSTITUTE(SUBSTITUTE(SUBSTITUTE(SUBSTITUTE(SUBSTITUTE(SUBSTITUTE(SUBSTITUTE(SUBSTITUTE(SUBSTITUTE(SUBSTITUTE(SUBSTITUTE(SUBSTITUTE(SUBSTITUTE(LOWER(SUBSTITUTE(SUBSTITUTE(SUBSTITUTE(SUBSTITUTE(SUBSTITUTE(P9,"×","x"),"·",""),"−","-"),"–","-"),"^","")),"μ","u"),"µ","u")," ",""),"k1=",""),"k2=",""),"k3=",""),"kd=",""),"ka=",""),"k=",""),"°c",""),"m-1",""),"um",""),"mm",""))</f>
        <v/>
      </c>
    </row>
    <row r="11">
      <c r="W11" s="2" t="inlineStr">
        <is>
          <t>RUN TOTAL:</t>
        </is>
      </c>
      <c r="Y11" s="15">
        <f>SUM(AA4:AA9)</f>
        <v/>
      </c>
      <c r="Z11" s="3" t="inlineStr">
        <is>
          <t>out of 42</t>
        </is>
      </c>
      <c r="AA11" s="16">
        <f>IF(SUM(AA4:AA9)=0,"",Y11/42)</f>
        <v/>
      </c>
    </row>
    <row r="12">
      <c r="W12" s="3" t="inlineStr">
        <is>
          <t>Accuracy % →</t>
        </is>
      </c>
    </row>
    <row r="14">
      <c r="B14" s="3" t="inlineStr">
        <is>
          <t>Extra rows your model produced beyond these 6 (optional, for feedback):</t>
        </is>
      </c>
      <c r="J14" s="14" t="n"/>
    </row>
  </sheetData>
  <mergeCells count="3">
    <mergeCell ref="J2:P2"/>
    <mergeCell ref="B2:H2"/>
    <mergeCell ref="R2:X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pane xSplit="9" ySplit="3" topLeftCell="J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2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8" customWidth="1" min="25" max="25"/>
    <col width="14" customWidth="1" min="26" max="26"/>
    <col width="9" customWidth="1" min="27" max="27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</cols>
  <sheetData>
    <row r="1">
      <c r="A1" s="1" t="inlineStr">
        <is>
          <t>RUN 3</t>
        </is>
      </c>
      <c r="C1" s="3" t="inlineStr">
        <is>
          <t>Paste your model's values into the BLUE columns, one benchmark row at a time. The GREEN columns check them automatically.</t>
        </is>
      </c>
    </row>
    <row r="2">
      <c r="B2" s="4" t="inlineStr">
        <is>
          <t>BENCHMARK — do not edit</t>
        </is>
      </c>
      <c r="J2" s="5" t="inlineStr">
        <is>
          <t>YOUR MODEL — paste values here</t>
        </is>
      </c>
      <c r="R2" s="6" t="inlineStr">
        <is>
          <t>AUTO-CHECK (rough — you have the final say)</t>
        </is>
      </c>
      <c r="Y2" s="7" t="inlineStr">
        <is>
          <t>SCORE</t>
        </is>
      </c>
    </row>
    <row r="3" ht="30" customHeight="1">
      <c r="A3" s="8" t="inlineStr">
        <is>
          <t>Row</t>
        </is>
      </c>
      <c r="B3" s="9" t="inlineStr">
        <is>
          <t>Species</t>
        </is>
      </c>
      <c r="C3" s="9" t="inlineStr">
        <is>
          <t>Temp (°C)</t>
        </is>
      </c>
      <c r="D3" s="9" t="inlineStr">
        <is>
          <t>Troponin complex</t>
        </is>
      </c>
      <c r="E3" s="9" t="inlineStr">
        <is>
          <t>Bound Ca2+ measure</t>
        </is>
      </c>
      <c r="F3" s="9" t="inlineStr">
        <is>
          <t>Mg (mM)</t>
        </is>
      </c>
      <c r="G3" s="9" t="inlineStr">
        <is>
          <t>Kd (M^-1)</t>
        </is>
      </c>
      <c r="H3" s="9" t="inlineStr">
        <is>
          <t>K (µM)</t>
        </is>
      </c>
      <c r="J3" s="9" t="inlineStr">
        <is>
          <t>Species</t>
        </is>
      </c>
      <c r="K3" s="9" t="inlineStr">
        <is>
          <t>Temp (°C)</t>
        </is>
      </c>
      <c r="L3" s="9" t="inlineStr">
        <is>
          <t>Troponin complex</t>
        </is>
      </c>
      <c r="M3" s="9" t="inlineStr">
        <is>
          <t>Bound Ca2+ measure</t>
        </is>
      </c>
      <c r="N3" s="9" t="inlineStr">
        <is>
          <t>Mg (mM)</t>
        </is>
      </c>
      <c r="O3" s="9" t="inlineStr">
        <is>
          <t>Kd (M^-1)</t>
        </is>
      </c>
      <c r="P3" s="9" t="inlineStr">
        <is>
          <t>K (µM)</t>
        </is>
      </c>
      <c r="R3" s="9" t="inlineStr">
        <is>
          <t>Species</t>
        </is>
      </c>
      <c r="S3" s="9" t="inlineStr">
        <is>
          <t>Temp (°C)</t>
        </is>
      </c>
      <c r="T3" s="9" t="inlineStr">
        <is>
          <t>Troponin complex</t>
        </is>
      </c>
      <c r="U3" s="9" t="inlineStr">
        <is>
          <t>Bound Ca2+ measure</t>
        </is>
      </c>
      <c r="V3" s="9" t="inlineStr">
        <is>
          <t>Mg (mM)</t>
        </is>
      </c>
      <c r="W3" s="9" t="inlineStr">
        <is>
          <t>Kd (M^-1)</t>
        </is>
      </c>
      <c r="X3" s="9" t="inlineStr">
        <is>
          <t>K (µM)</t>
        </is>
      </c>
      <c r="Y3" s="8" t="inlineStr">
        <is>
          <t>Auto /7</t>
        </is>
      </c>
      <c r="Z3" s="8" t="inlineStr">
        <is>
          <t>Your /7 (edit only if you disagree)</t>
        </is>
      </c>
      <c r="AA3" s="8" t="inlineStr">
        <is>
          <t>Final /7</t>
        </is>
      </c>
      <c r="AC3" t="inlineStr">
        <is>
          <t>norm(GT):Species</t>
        </is>
      </c>
      <c r="AD3" t="inlineStr">
        <is>
          <t>norm(GT):Temp (°C)</t>
        </is>
      </c>
      <c r="AE3" t="inlineStr">
        <is>
          <t>norm(GT):Troponin complex</t>
        </is>
      </c>
      <c r="AF3" t="inlineStr">
        <is>
          <t>norm(GT):Bound Ca2+ measure</t>
        </is>
      </c>
      <c r="AG3" t="inlineStr">
        <is>
          <t>norm(GT):Mg (mM)</t>
        </is>
      </c>
      <c r="AH3" t="inlineStr">
        <is>
          <t>norm(GT):Kd (M^-1)</t>
        </is>
      </c>
      <c r="AI3" t="inlineStr">
        <is>
          <t>norm(GT):K (µM)</t>
        </is>
      </c>
      <c r="AK3" t="inlineStr">
        <is>
          <t>norm(you):Species</t>
        </is>
      </c>
      <c r="AL3" t="inlineStr">
        <is>
          <t>norm(you):Temp (°C)</t>
        </is>
      </c>
      <c r="AM3" t="inlineStr">
        <is>
          <t>norm(you):Troponin complex</t>
        </is>
      </c>
      <c r="AN3" t="inlineStr">
        <is>
          <t>norm(you):Bound Ca2+ measure</t>
        </is>
      </c>
      <c r="AO3" t="inlineStr">
        <is>
          <t>norm(you):Mg (mM)</t>
        </is>
      </c>
      <c r="AP3" t="inlineStr">
        <is>
          <t>norm(you):Kd (M^-1)</t>
        </is>
      </c>
      <c r="AQ3" t="inlineStr">
        <is>
          <t>norm(you):K (µM)</t>
        </is>
      </c>
    </row>
    <row r="4">
      <c r="A4" s="10" t="n">
        <v>1</v>
      </c>
      <c r="B4" s="11" t="inlineStr">
        <is>
          <t>Bovine</t>
        </is>
      </c>
      <c r="C4" s="11" t="n">
        <v>4</v>
      </c>
      <c r="D4" s="11" t="inlineStr">
        <is>
          <t>TnC</t>
        </is>
      </c>
      <c r="E4" s="11" t="inlineStr">
        <is>
          <t>SC</t>
        </is>
      </c>
      <c r="F4" s="11" t="inlineStr">
        <is>
          <t>None</t>
        </is>
      </c>
      <c r="G4" s="11" t="inlineStr">
        <is>
          <t>2.5 x 10^5</t>
        </is>
      </c>
      <c r="H4" s="11" t="n">
        <v>4</v>
      </c>
      <c r="J4" s="12" t="n"/>
      <c r="K4" s="12" t="n"/>
      <c r="L4" s="12" t="n"/>
      <c r="M4" s="12" t="n"/>
      <c r="N4" s="12" t="n"/>
      <c r="O4" s="12" t="n"/>
      <c r="P4" s="12" t="n"/>
      <c r="R4" s="13">
        <f>IF(J4="",0,IF(EXACT($AC4,$AK4),1,IF(IFERROR(VALUE($AC4)=VALUE($AK4),FALSE),1,0)))</f>
        <v/>
      </c>
      <c r="S4" s="13">
        <f>IF(K4="",0,IF(EXACT($AD4,$AL4),1,IF(IFERROR(VALUE($AD4)=VALUE($AL4),FALSE),1,0)))</f>
        <v/>
      </c>
      <c r="T4" s="13">
        <f>IF(L4="",0,IF(EXACT($AE4,$AM4),1,IF(IFERROR(VALUE($AE4)=VALUE($AM4),FALSE),1,0)))</f>
        <v/>
      </c>
      <c r="U4" s="13">
        <f>IF(M4="",0,IF(EXACT($AF4,$AN4),1,IF(IFERROR(VALUE($AF4)=VALUE($AN4),FALSE),1,0)))</f>
        <v/>
      </c>
      <c r="V4" s="13">
        <f>IF(N4="",0,IF(EXACT($AG4,$AO4),1,IF(IFERROR(VALUE($AG4)=VALUE($AO4),FALSE),1,0)))</f>
        <v/>
      </c>
      <c r="W4" s="13">
        <f>IF(O4="",0,IF(EXACT($AH4,$AP4),1,IF(IFERROR(VALUE($AH4)=VALUE($AP4),FALSE),1,0)))</f>
        <v/>
      </c>
      <c r="X4" s="13">
        <f>IF(P4="",0,IF(EXACT($AI4,$AQ4),1,IF(IFERROR(VALUE($AI4)=VALUE($AQ4),FALSE),1,0)))</f>
        <v/>
      </c>
      <c r="Y4" s="13">
        <f>SUM(R4:X4)</f>
        <v/>
      </c>
      <c r="Z4" s="14" t="n"/>
      <c r="AA4" s="13">
        <f>IF(Z4="",Y4,Z4)</f>
        <v/>
      </c>
      <c r="AC4">
        <f>TRIM(SUBSTITUTE(SUBSTITUTE(SUBSTITUTE(SUBSTITUTE(SUBSTITUTE(SUBSTITUTE(SUBSTITUTE(SUBSTITUTE(SUBSTITUTE(SUBSTITUTE(SUBSTITUTE(SUBSTITUTE(SUBSTITUTE(LOWER(SUBSTITUTE(SUBSTITUTE(SUBSTITUTE(SUBSTITUTE(SUBSTITUTE(B4,"×","x"),"·",""),"−","-"),"–","-"),"^","")),"μ","u"),"µ","u")," ",""),"k1=",""),"k2=",""),"k3=",""),"kd=",""),"ka=",""),"k=",""),"°c",""),"m-1",""),"um",""),"mm",""))</f>
        <v/>
      </c>
      <c r="AD4">
        <f>TRIM(SUBSTITUTE(SUBSTITUTE(SUBSTITUTE(SUBSTITUTE(SUBSTITUTE(SUBSTITUTE(SUBSTITUTE(SUBSTITUTE(SUBSTITUTE(SUBSTITUTE(SUBSTITUTE(SUBSTITUTE(SUBSTITUTE(LOWER(SUBSTITUTE(SUBSTITUTE(SUBSTITUTE(SUBSTITUTE(SUBSTITUTE(C4,"×","x"),"·",""),"−","-"),"–","-"),"^","")),"μ","u"),"µ","u")," ",""),"k1=",""),"k2=",""),"k3=",""),"kd=",""),"ka=",""),"k=",""),"°c",""),"m-1",""),"um",""),"mm",""))</f>
        <v/>
      </c>
      <c r="AE4">
        <f>TRIM(SUBSTITUTE(SUBSTITUTE(SUBSTITUTE(SUBSTITUTE(SUBSTITUTE(SUBSTITUTE(SUBSTITUTE(SUBSTITUTE(SUBSTITUTE(SUBSTITUTE(SUBSTITUTE(SUBSTITUTE(SUBSTITUTE(LOWER(SUBSTITUTE(SUBSTITUTE(SUBSTITUTE(SUBSTITUTE(SUBSTITUTE(D4,"×","x"),"·",""),"−","-"),"–","-"),"^","")),"μ","u"),"µ","u")," ",""),"k1=",""),"k2=",""),"k3=",""),"kd=",""),"ka=",""),"k=",""),"°c",""),"m-1",""),"um",""),"mm",""))</f>
        <v/>
      </c>
      <c r="AF4">
        <f>TRIM(SUBSTITUTE(SUBSTITUTE(SUBSTITUTE(SUBSTITUTE(SUBSTITUTE(SUBSTITUTE(SUBSTITUTE(SUBSTITUTE(SUBSTITUTE(SUBSTITUTE(SUBSTITUTE(SUBSTITUTE(SUBSTITUTE(LOWER(SUBSTITUTE(SUBSTITUTE(SUBSTITUTE(SUBSTITUTE(SUBSTITUTE(E4,"×","x"),"·",""),"−","-"),"–","-"),"^","")),"μ","u"),"µ","u")," ",""),"k1=",""),"k2=",""),"k3=",""),"kd=",""),"ka=",""),"k=",""),"°c",""),"m-1",""),"um",""),"mm",""))</f>
        <v/>
      </c>
      <c r="AG4">
        <f>TRIM(SUBSTITUTE(SUBSTITUTE(SUBSTITUTE(SUBSTITUTE(SUBSTITUTE(SUBSTITUTE(SUBSTITUTE(SUBSTITUTE(SUBSTITUTE(SUBSTITUTE(SUBSTITUTE(SUBSTITUTE(SUBSTITUTE(LOWER(SUBSTITUTE(SUBSTITUTE(SUBSTITUTE(SUBSTITUTE(SUBSTITUTE(F4,"×","x"),"·",""),"−","-"),"–","-"),"^","")),"μ","u"),"µ","u")," ",""),"k1=",""),"k2=",""),"k3=",""),"kd=",""),"ka=",""),"k=",""),"°c",""),"m-1",""),"um",""),"mm",""))</f>
        <v/>
      </c>
      <c r="AH4">
        <f>TRIM(SUBSTITUTE(SUBSTITUTE(SUBSTITUTE(SUBSTITUTE(SUBSTITUTE(SUBSTITUTE(SUBSTITUTE(SUBSTITUTE(SUBSTITUTE(SUBSTITUTE(SUBSTITUTE(SUBSTITUTE(SUBSTITUTE(LOWER(SUBSTITUTE(SUBSTITUTE(SUBSTITUTE(SUBSTITUTE(SUBSTITUTE(G4,"×","x"),"·",""),"−","-"),"–","-"),"^","")),"μ","u"),"µ","u")," ",""),"k1=",""),"k2=",""),"k3=",""),"kd=",""),"ka=",""),"k=",""),"°c",""),"m-1",""),"um",""),"mm",""))</f>
        <v/>
      </c>
      <c r="AI4">
        <f>TRIM(SUBSTITUTE(SUBSTITUTE(SUBSTITUTE(SUBSTITUTE(SUBSTITUTE(SUBSTITUTE(SUBSTITUTE(SUBSTITUTE(SUBSTITUTE(SUBSTITUTE(SUBSTITUTE(SUBSTITUTE(SUBSTITUTE(LOWER(SUBSTITUTE(SUBSTITUTE(SUBSTITUTE(SUBSTITUTE(SUBSTITUTE(H4,"×","x"),"·",""),"−","-"),"–","-"),"^","")),"μ","u"),"µ","u")," ",""),"k1=",""),"k2=",""),"k3=",""),"kd=",""),"ka=",""),"k=",""),"°c",""),"m-1",""),"um",""),"mm",""))</f>
        <v/>
      </c>
      <c r="AK4">
        <f>TRIM(SUBSTITUTE(SUBSTITUTE(SUBSTITUTE(SUBSTITUTE(SUBSTITUTE(SUBSTITUTE(SUBSTITUTE(SUBSTITUTE(SUBSTITUTE(SUBSTITUTE(SUBSTITUTE(SUBSTITUTE(SUBSTITUTE(LOWER(SUBSTITUTE(SUBSTITUTE(SUBSTITUTE(SUBSTITUTE(SUBSTITUTE(J4,"×","x"),"·",""),"−","-"),"–","-"),"^","")),"μ","u"),"µ","u")," ",""),"k1=",""),"k2=",""),"k3=",""),"kd=",""),"ka=",""),"k=",""),"°c",""),"m-1",""),"um",""),"mm",""))</f>
        <v/>
      </c>
      <c r="AL4">
        <f>TRIM(SUBSTITUTE(SUBSTITUTE(SUBSTITUTE(SUBSTITUTE(SUBSTITUTE(SUBSTITUTE(SUBSTITUTE(SUBSTITUTE(SUBSTITUTE(SUBSTITUTE(SUBSTITUTE(SUBSTITUTE(SUBSTITUTE(LOWER(SUBSTITUTE(SUBSTITUTE(SUBSTITUTE(SUBSTITUTE(SUBSTITUTE(K4,"×","x"),"·",""),"−","-"),"–","-"),"^","")),"μ","u"),"µ","u")," ",""),"k1=",""),"k2=",""),"k3=",""),"kd=",""),"ka=",""),"k=",""),"°c",""),"m-1",""),"um",""),"mm",""))</f>
        <v/>
      </c>
      <c r="AM4">
        <f>TRIM(SUBSTITUTE(SUBSTITUTE(SUBSTITUTE(SUBSTITUTE(SUBSTITUTE(SUBSTITUTE(SUBSTITUTE(SUBSTITUTE(SUBSTITUTE(SUBSTITUTE(SUBSTITUTE(SUBSTITUTE(SUBSTITUTE(LOWER(SUBSTITUTE(SUBSTITUTE(SUBSTITUTE(SUBSTITUTE(SUBSTITUTE(L4,"×","x"),"·",""),"−","-"),"–","-"),"^","")),"μ","u"),"µ","u")," ",""),"k1=",""),"k2=",""),"k3=",""),"kd=",""),"ka=",""),"k=",""),"°c",""),"m-1",""),"um",""),"mm",""))</f>
        <v/>
      </c>
      <c r="AN4">
        <f>TRIM(SUBSTITUTE(SUBSTITUTE(SUBSTITUTE(SUBSTITUTE(SUBSTITUTE(SUBSTITUTE(SUBSTITUTE(SUBSTITUTE(SUBSTITUTE(SUBSTITUTE(SUBSTITUTE(SUBSTITUTE(SUBSTITUTE(LOWER(SUBSTITUTE(SUBSTITUTE(SUBSTITUTE(SUBSTITUTE(SUBSTITUTE(M4,"×","x"),"·",""),"−","-"),"–","-"),"^","")),"μ","u"),"µ","u")," ",""),"k1=",""),"k2=",""),"k3=",""),"kd=",""),"ka=",""),"k=",""),"°c",""),"m-1",""),"um",""),"mm",""))</f>
        <v/>
      </c>
      <c r="AO4">
        <f>TRIM(SUBSTITUTE(SUBSTITUTE(SUBSTITUTE(SUBSTITUTE(SUBSTITUTE(SUBSTITUTE(SUBSTITUTE(SUBSTITUTE(SUBSTITUTE(SUBSTITUTE(SUBSTITUTE(SUBSTITUTE(SUBSTITUTE(LOWER(SUBSTITUTE(SUBSTITUTE(SUBSTITUTE(SUBSTITUTE(SUBSTITUTE(N4,"×","x"),"·",""),"−","-"),"–","-"),"^","")),"μ","u"),"µ","u")," ",""),"k1=",""),"k2=",""),"k3=",""),"kd=",""),"ka=",""),"k=",""),"°c",""),"m-1",""),"um",""),"mm",""))</f>
        <v/>
      </c>
      <c r="AP4">
        <f>TRIM(SUBSTITUTE(SUBSTITUTE(SUBSTITUTE(SUBSTITUTE(SUBSTITUTE(SUBSTITUTE(SUBSTITUTE(SUBSTITUTE(SUBSTITUTE(SUBSTITUTE(SUBSTITUTE(SUBSTITUTE(SUBSTITUTE(LOWER(SUBSTITUTE(SUBSTITUTE(SUBSTITUTE(SUBSTITUTE(SUBSTITUTE(O4,"×","x"),"·",""),"−","-"),"–","-"),"^","")),"μ","u"),"µ","u")," ",""),"k1=",""),"k2=",""),"k3=",""),"kd=",""),"ka=",""),"k=",""),"°c",""),"m-1",""),"um",""),"mm",""))</f>
        <v/>
      </c>
      <c r="AQ4">
        <f>TRIM(SUBSTITUTE(SUBSTITUTE(SUBSTITUTE(SUBSTITUTE(SUBSTITUTE(SUBSTITUTE(SUBSTITUTE(SUBSTITUTE(SUBSTITUTE(SUBSTITUTE(SUBSTITUTE(SUBSTITUTE(SUBSTITUTE(LOWER(SUBSTITUTE(SUBSTITUTE(SUBSTITUTE(SUBSTITUTE(SUBSTITUTE(P4,"×","x"),"·",""),"−","-"),"–","-"),"^","")),"μ","u"),"µ","u")," ",""),"k1=",""),"k2=",""),"k3=",""),"kd=",""),"ka=",""),"k=",""),"°c",""),"m-1",""),"um",""),"mm",""))</f>
        <v/>
      </c>
    </row>
    <row r="5">
      <c r="A5" s="10" t="n">
        <v>2</v>
      </c>
      <c r="B5" s="11" t="inlineStr">
        <is>
          <t>Bovine</t>
        </is>
      </c>
      <c r="C5" s="11" t="n">
        <v>4</v>
      </c>
      <c r="D5" s="11" t="inlineStr">
        <is>
          <t>TnC</t>
        </is>
      </c>
      <c r="E5" s="11" t="inlineStr">
        <is>
          <t>SC</t>
        </is>
      </c>
      <c r="F5" s="11" t="n">
        <v>4</v>
      </c>
      <c r="G5" s="11" t="inlineStr">
        <is>
          <t>2.5 x 10^5</t>
        </is>
      </c>
      <c r="H5" s="11" t="n">
        <v>4</v>
      </c>
      <c r="J5" s="12" t="n"/>
      <c r="K5" s="12" t="n"/>
      <c r="L5" s="12" t="n"/>
      <c r="M5" s="12" t="n"/>
      <c r="N5" s="12" t="n"/>
      <c r="O5" s="12" t="n"/>
      <c r="P5" s="12" t="n"/>
      <c r="R5" s="13">
        <f>IF(J5="",0,IF(EXACT($AC5,$AK5),1,IF(IFERROR(VALUE($AC5)=VALUE($AK5),FALSE),1,0)))</f>
        <v/>
      </c>
      <c r="S5" s="13">
        <f>IF(K5="",0,IF(EXACT($AD5,$AL5),1,IF(IFERROR(VALUE($AD5)=VALUE($AL5),FALSE),1,0)))</f>
        <v/>
      </c>
      <c r="T5" s="13">
        <f>IF(L5="",0,IF(EXACT($AE5,$AM5),1,IF(IFERROR(VALUE($AE5)=VALUE($AM5),FALSE),1,0)))</f>
        <v/>
      </c>
      <c r="U5" s="13">
        <f>IF(M5="",0,IF(EXACT($AF5,$AN5),1,IF(IFERROR(VALUE($AF5)=VALUE($AN5),FALSE),1,0)))</f>
        <v/>
      </c>
      <c r="V5" s="13">
        <f>IF(N5="",0,IF(EXACT($AG5,$AO5),1,IF(IFERROR(VALUE($AG5)=VALUE($AO5),FALSE),1,0)))</f>
        <v/>
      </c>
      <c r="W5" s="13">
        <f>IF(O5="",0,IF(EXACT($AH5,$AP5),1,IF(IFERROR(VALUE($AH5)=VALUE($AP5),FALSE),1,0)))</f>
        <v/>
      </c>
      <c r="X5" s="13">
        <f>IF(P5="",0,IF(EXACT($AI5,$AQ5),1,IF(IFERROR(VALUE($AI5)=VALUE($AQ5),FALSE),1,0)))</f>
        <v/>
      </c>
      <c r="Y5" s="13">
        <f>SUM(R5:X5)</f>
        <v/>
      </c>
      <c r="Z5" s="14" t="n"/>
      <c r="AA5" s="13">
        <f>IF(Z5="",Y5,Z5)</f>
        <v/>
      </c>
      <c r="AC5">
        <f>TRIM(SUBSTITUTE(SUBSTITUTE(SUBSTITUTE(SUBSTITUTE(SUBSTITUTE(SUBSTITUTE(SUBSTITUTE(SUBSTITUTE(SUBSTITUTE(SUBSTITUTE(SUBSTITUTE(SUBSTITUTE(SUBSTITUTE(LOWER(SUBSTITUTE(SUBSTITUTE(SUBSTITUTE(SUBSTITUTE(SUBSTITUTE(B5,"×","x"),"·",""),"−","-"),"–","-"),"^","")),"μ","u"),"µ","u")," ",""),"k1=",""),"k2=",""),"k3=",""),"kd=",""),"ka=",""),"k=",""),"°c",""),"m-1",""),"um",""),"mm",""))</f>
        <v/>
      </c>
      <c r="AD5">
        <f>TRIM(SUBSTITUTE(SUBSTITUTE(SUBSTITUTE(SUBSTITUTE(SUBSTITUTE(SUBSTITUTE(SUBSTITUTE(SUBSTITUTE(SUBSTITUTE(SUBSTITUTE(SUBSTITUTE(SUBSTITUTE(SUBSTITUTE(LOWER(SUBSTITUTE(SUBSTITUTE(SUBSTITUTE(SUBSTITUTE(SUBSTITUTE(C5,"×","x"),"·",""),"−","-"),"–","-"),"^","")),"μ","u"),"µ","u")," ",""),"k1=",""),"k2=",""),"k3=",""),"kd=",""),"ka=",""),"k=",""),"°c",""),"m-1",""),"um",""),"mm",""))</f>
        <v/>
      </c>
      <c r="AE5">
        <f>TRIM(SUBSTITUTE(SUBSTITUTE(SUBSTITUTE(SUBSTITUTE(SUBSTITUTE(SUBSTITUTE(SUBSTITUTE(SUBSTITUTE(SUBSTITUTE(SUBSTITUTE(SUBSTITUTE(SUBSTITUTE(SUBSTITUTE(LOWER(SUBSTITUTE(SUBSTITUTE(SUBSTITUTE(SUBSTITUTE(SUBSTITUTE(D5,"×","x"),"·",""),"−","-"),"–","-"),"^","")),"μ","u"),"µ","u")," ",""),"k1=",""),"k2=",""),"k3=",""),"kd=",""),"ka=",""),"k=",""),"°c",""),"m-1",""),"um",""),"mm",""))</f>
        <v/>
      </c>
      <c r="AF5">
        <f>TRIM(SUBSTITUTE(SUBSTITUTE(SUBSTITUTE(SUBSTITUTE(SUBSTITUTE(SUBSTITUTE(SUBSTITUTE(SUBSTITUTE(SUBSTITUTE(SUBSTITUTE(SUBSTITUTE(SUBSTITUTE(SUBSTITUTE(LOWER(SUBSTITUTE(SUBSTITUTE(SUBSTITUTE(SUBSTITUTE(SUBSTITUTE(E5,"×","x"),"·",""),"−","-"),"–","-"),"^","")),"μ","u"),"µ","u")," ",""),"k1=",""),"k2=",""),"k3=",""),"kd=",""),"ka=",""),"k=",""),"°c",""),"m-1",""),"um",""),"mm",""))</f>
        <v/>
      </c>
      <c r="AG5">
        <f>TRIM(SUBSTITUTE(SUBSTITUTE(SUBSTITUTE(SUBSTITUTE(SUBSTITUTE(SUBSTITUTE(SUBSTITUTE(SUBSTITUTE(SUBSTITUTE(SUBSTITUTE(SUBSTITUTE(SUBSTITUTE(SUBSTITUTE(LOWER(SUBSTITUTE(SUBSTITUTE(SUBSTITUTE(SUBSTITUTE(SUBSTITUTE(F5,"×","x"),"·",""),"−","-"),"–","-"),"^","")),"μ","u"),"µ","u")," ",""),"k1=",""),"k2=",""),"k3=",""),"kd=",""),"ka=",""),"k=",""),"°c",""),"m-1",""),"um",""),"mm",""))</f>
        <v/>
      </c>
      <c r="AH5">
        <f>TRIM(SUBSTITUTE(SUBSTITUTE(SUBSTITUTE(SUBSTITUTE(SUBSTITUTE(SUBSTITUTE(SUBSTITUTE(SUBSTITUTE(SUBSTITUTE(SUBSTITUTE(SUBSTITUTE(SUBSTITUTE(SUBSTITUTE(LOWER(SUBSTITUTE(SUBSTITUTE(SUBSTITUTE(SUBSTITUTE(SUBSTITUTE(G5,"×","x"),"·",""),"−","-"),"–","-"),"^","")),"μ","u"),"µ","u")," ",""),"k1=",""),"k2=",""),"k3=",""),"kd=",""),"ka=",""),"k=",""),"°c",""),"m-1",""),"um",""),"mm",""))</f>
        <v/>
      </c>
      <c r="AI5">
        <f>TRIM(SUBSTITUTE(SUBSTITUTE(SUBSTITUTE(SUBSTITUTE(SUBSTITUTE(SUBSTITUTE(SUBSTITUTE(SUBSTITUTE(SUBSTITUTE(SUBSTITUTE(SUBSTITUTE(SUBSTITUTE(SUBSTITUTE(LOWER(SUBSTITUTE(SUBSTITUTE(SUBSTITUTE(SUBSTITUTE(SUBSTITUTE(H5,"×","x"),"·",""),"−","-"),"–","-"),"^","")),"μ","u"),"µ","u")," ",""),"k1=",""),"k2=",""),"k3=",""),"kd=",""),"ka=",""),"k=",""),"°c",""),"m-1",""),"um",""),"mm",""))</f>
        <v/>
      </c>
      <c r="AK5">
        <f>TRIM(SUBSTITUTE(SUBSTITUTE(SUBSTITUTE(SUBSTITUTE(SUBSTITUTE(SUBSTITUTE(SUBSTITUTE(SUBSTITUTE(SUBSTITUTE(SUBSTITUTE(SUBSTITUTE(SUBSTITUTE(SUBSTITUTE(LOWER(SUBSTITUTE(SUBSTITUTE(SUBSTITUTE(SUBSTITUTE(SUBSTITUTE(J5,"×","x"),"·",""),"−","-"),"–","-"),"^","")),"μ","u"),"µ","u")," ",""),"k1=",""),"k2=",""),"k3=",""),"kd=",""),"ka=",""),"k=",""),"°c",""),"m-1",""),"um",""),"mm",""))</f>
        <v/>
      </c>
      <c r="AL5">
        <f>TRIM(SUBSTITUTE(SUBSTITUTE(SUBSTITUTE(SUBSTITUTE(SUBSTITUTE(SUBSTITUTE(SUBSTITUTE(SUBSTITUTE(SUBSTITUTE(SUBSTITUTE(SUBSTITUTE(SUBSTITUTE(SUBSTITUTE(LOWER(SUBSTITUTE(SUBSTITUTE(SUBSTITUTE(SUBSTITUTE(SUBSTITUTE(K5,"×","x"),"·",""),"−","-"),"–","-"),"^","")),"μ","u"),"µ","u")," ",""),"k1=",""),"k2=",""),"k3=",""),"kd=",""),"ka=",""),"k=",""),"°c",""),"m-1",""),"um",""),"mm",""))</f>
        <v/>
      </c>
      <c r="AM5">
        <f>TRIM(SUBSTITUTE(SUBSTITUTE(SUBSTITUTE(SUBSTITUTE(SUBSTITUTE(SUBSTITUTE(SUBSTITUTE(SUBSTITUTE(SUBSTITUTE(SUBSTITUTE(SUBSTITUTE(SUBSTITUTE(SUBSTITUTE(LOWER(SUBSTITUTE(SUBSTITUTE(SUBSTITUTE(SUBSTITUTE(SUBSTITUTE(L5,"×","x"),"·",""),"−","-"),"–","-"),"^","")),"μ","u"),"µ","u")," ",""),"k1=",""),"k2=",""),"k3=",""),"kd=",""),"ka=",""),"k=",""),"°c",""),"m-1",""),"um",""),"mm",""))</f>
        <v/>
      </c>
      <c r="AN5">
        <f>TRIM(SUBSTITUTE(SUBSTITUTE(SUBSTITUTE(SUBSTITUTE(SUBSTITUTE(SUBSTITUTE(SUBSTITUTE(SUBSTITUTE(SUBSTITUTE(SUBSTITUTE(SUBSTITUTE(SUBSTITUTE(SUBSTITUTE(LOWER(SUBSTITUTE(SUBSTITUTE(SUBSTITUTE(SUBSTITUTE(SUBSTITUTE(M5,"×","x"),"·",""),"−","-"),"–","-"),"^","")),"μ","u"),"µ","u")," ",""),"k1=",""),"k2=",""),"k3=",""),"kd=",""),"ka=",""),"k=",""),"°c",""),"m-1",""),"um",""),"mm",""))</f>
        <v/>
      </c>
      <c r="AO5">
        <f>TRIM(SUBSTITUTE(SUBSTITUTE(SUBSTITUTE(SUBSTITUTE(SUBSTITUTE(SUBSTITUTE(SUBSTITUTE(SUBSTITUTE(SUBSTITUTE(SUBSTITUTE(SUBSTITUTE(SUBSTITUTE(SUBSTITUTE(LOWER(SUBSTITUTE(SUBSTITUTE(SUBSTITUTE(SUBSTITUTE(SUBSTITUTE(N5,"×","x"),"·",""),"−","-"),"–","-"),"^","")),"μ","u"),"µ","u")," ",""),"k1=",""),"k2=",""),"k3=",""),"kd=",""),"ka=",""),"k=",""),"°c",""),"m-1",""),"um",""),"mm",""))</f>
        <v/>
      </c>
      <c r="AP5">
        <f>TRIM(SUBSTITUTE(SUBSTITUTE(SUBSTITUTE(SUBSTITUTE(SUBSTITUTE(SUBSTITUTE(SUBSTITUTE(SUBSTITUTE(SUBSTITUTE(SUBSTITUTE(SUBSTITUTE(SUBSTITUTE(SUBSTITUTE(LOWER(SUBSTITUTE(SUBSTITUTE(SUBSTITUTE(SUBSTITUTE(SUBSTITUTE(O5,"×","x"),"·",""),"−","-"),"–","-"),"^","")),"μ","u"),"µ","u")," ",""),"k1=",""),"k2=",""),"k3=",""),"kd=",""),"ka=",""),"k=",""),"°c",""),"m-1",""),"um",""),"mm",""))</f>
        <v/>
      </c>
      <c r="AQ5">
        <f>TRIM(SUBSTITUTE(SUBSTITUTE(SUBSTITUTE(SUBSTITUTE(SUBSTITUTE(SUBSTITUTE(SUBSTITUTE(SUBSTITUTE(SUBSTITUTE(SUBSTITUTE(SUBSTITUTE(SUBSTITUTE(SUBSTITUTE(LOWER(SUBSTITUTE(SUBSTITUTE(SUBSTITUTE(SUBSTITUTE(SUBSTITUTE(P5,"×","x"),"·",""),"−","-"),"–","-"),"^","")),"μ","u"),"µ","u")," ",""),"k1=",""),"k2=",""),"k3=",""),"kd=",""),"ka=",""),"k=",""),"°c",""),"m-1",""),"um",""),"mm",""))</f>
        <v/>
      </c>
    </row>
    <row r="6">
      <c r="A6" s="10" t="n">
        <v>3</v>
      </c>
      <c r="B6" s="11" t="inlineStr">
        <is>
          <t>Bovine</t>
        </is>
      </c>
      <c r="C6" s="11" t="n">
        <v>4</v>
      </c>
      <c r="D6" s="11" t="inlineStr">
        <is>
          <t>TnC-TnI</t>
        </is>
      </c>
      <c r="E6" s="11" t="inlineStr">
        <is>
          <t>SC</t>
        </is>
      </c>
      <c r="F6" s="11" t="n">
        <v>4</v>
      </c>
      <c r="G6" s="11" t="inlineStr">
        <is>
          <t>1 x 10^6</t>
        </is>
      </c>
      <c r="H6" s="11" t="n">
        <v>1</v>
      </c>
      <c r="J6" s="12" t="n"/>
      <c r="K6" s="12" t="n"/>
      <c r="L6" s="12" t="n"/>
      <c r="M6" s="12" t="n"/>
      <c r="N6" s="12" t="n"/>
      <c r="O6" s="12" t="n"/>
      <c r="P6" s="12" t="n"/>
      <c r="R6" s="13">
        <f>IF(J6="",0,IF(EXACT($AC6,$AK6),1,IF(IFERROR(VALUE($AC6)=VALUE($AK6),FALSE),1,0)))</f>
        <v/>
      </c>
      <c r="S6" s="13">
        <f>IF(K6="",0,IF(EXACT($AD6,$AL6),1,IF(IFERROR(VALUE($AD6)=VALUE($AL6),FALSE),1,0)))</f>
        <v/>
      </c>
      <c r="T6" s="13">
        <f>IF(L6="",0,IF(EXACT($AE6,$AM6),1,IF(IFERROR(VALUE($AE6)=VALUE($AM6),FALSE),1,0)))</f>
        <v/>
      </c>
      <c r="U6" s="13">
        <f>IF(M6="",0,IF(EXACT($AF6,$AN6),1,IF(IFERROR(VALUE($AF6)=VALUE($AN6),FALSE),1,0)))</f>
        <v/>
      </c>
      <c r="V6" s="13">
        <f>IF(N6="",0,IF(EXACT($AG6,$AO6),1,IF(IFERROR(VALUE($AG6)=VALUE($AO6),FALSE),1,0)))</f>
        <v/>
      </c>
      <c r="W6" s="13">
        <f>IF(O6="",0,IF(EXACT($AH6,$AP6),1,IF(IFERROR(VALUE($AH6)=VALUE($AP6),FALSE),1,0)))</f>
        <v/>
      </c>
      <c r="X6" s="13">
        <f>IF(P6="",0,IF(EXACT($AI6,$AQ6),1,IF(IFERROR(VALUE($AI6)=VALUE($AQ6),FALSE),1,0)))</f>
        <v/>
      </c>
      <c r="Y6" s="13">
        <f>SUM(R6:X6)</f>
        <v/>
      </c>
      <c r="Z6" s="14" t="n"/>
      <c r="AA6" s="13">
        <f>IF(Z6="",Y6,Z6)</f>
        <v/>
      </c>
      <c r="AC6">
        <f>TRIM(SUBSTITUTE(SUBSTITUTE(SUBSTITUTE(SUBSTITUTE(SUBSTITUTE(SUBSTITUTE(SUBSTITUTE(SUBSTITUTE(SUBSTITUTE(SUBSTITUTE(SUBSTITUTE(SUBSTITUTE(SUBSTITUTE(LOWER(SUBSTITUTE(SUBSTITUTE(SUBSTITUTE(SUBSTITUTE(SUBSTITUTE(B6,"×","x"),"·",""),"−","-"),"–","-"),"^","")),"μ","u"),"µ","u")," ",""),"k1=",""),"k2=",""),"k3=",""),"kd=",""),"ka=",""),"k=",""),"°c",""),"m-1",""),"um",""),"mm",""))</f>
        <v/>
      </c>
      <c r="AD6">
        <f>TRIM(SUBSTITUTE(SUBSTITUTE(SUBSTITUTE(SUBSTITUTE(SUBSTITUTE(SUBSTITUTE(SUBSTITUTE(SUBSTITUTE(SUBSTITUTE(SUBSTITUTE(SUBSTITUTE(SUBSTITUTE(SUBSTITUTE(LOWER(SUBSTITUTE(SUBSTITUTE(SUBSTITUTE(SUBSTITUTE(SUBSTITUTE(C6,"×","x"),"·",""),"−","-"),"–","-"),"^","")),"μ","u"),"µ","u")," ",""),"k1=",""),"k2=",""),"k3=",""),"kd=",""),"ka=",""),"k=",""),"°c",""),"m-1",""),"um",""),"mm",""))</f>
        <v/>
      </c>
      <c r="AE6">
        <f>TRIM(SUBSTITUTE(SUBSTITUTE(SUBSTITUTE(SUBSTITUTE(SUBSTITUTE(SUBSTITUTE(SUBSTITUTE(SUBSTITUTE(SUBSTITUTE(SUBSTITUTE(SUBSTITUTE(SUBSTITUTE(SUBSTITUTE(LOWER(SUBSTITUTE(SUBSTITUTE(SUBSTITUTE(SUBSTITUTE(SUBSTITUTE(D6,"×","x"),"·",""),"−","-"),"–","-"),"^","")),"μ","u"),"µ","u")," ",""),"k1=",""),"k2=",""),"k3=",""),"kd=",""),"ka=",""),"k=",""),"°c",""),"m-1",""),"um",""),"mm",""))</f>
        <v/>
      </c>
      <c r="AF6">
        <f>TRIM(SUBSTITUTE(SUBSTITUTE(SUBSTITUTE(SUBSTITUTE(SUBSTITUTE(SUBSTITUTE(SUBSTITUTE(SUBSTITUTE(SUBSTITUTE(SUBSTITUTE(SUBSTITUTE(SUBSTITUTE(SUBSTITUTE(LOWER(SUBSTITUTE(SUBSTITUTE(SUBSTITUTE(SUBSTITUTE(SUBSTITUTE(E6,"×","x"),"·",""),"−","-"),"–","-"),"^","")),"μ","u"),"µ","u")," ",""),"k1=",""),"k2=",""),"k3=",""),"kd=",""),"ka=",""),"k=",""),"°c",""),"m-1",""),"um",""),"mm",""))</f>
        <v/>
      </c>
      <c r="AG6">
        <f>TRIM(SUBSTITUTE(SUBSTITUTE(SUBSTITUTE(SUBSTITUTE(SUBSTITUTE(SUBSTITUTE(SUBSTITUTE(SUBSTITUTE(SUBSTITUTE(SUBSTITUTE(SUBSTITUTE(SUBSTITUTE(SUBSTITUTE(LOWER(SUBSTITUTE(SUBSTITUTE(SUBSTITUTE(SUBSTITUTE(SUBSTITUTE(F6,"×","x"),"·",""),"−","-"),"–","-"),"^","")),"μ","u"),"µ","u")," ",""),"k1=",""),"k2=",""),"k3=",""),"kd=",""),"ka=",""),"k=",""),"°c",""),"m-1",""),"um",""),"mm",""))</f>
        <v/>
      </c>
      <c r="AH6">
        <f>TRIM(SUBSTITUTE(SUBSTITUTE(SUBSTITUTE(SUBSTITUTE(SUBSTITUTE(SUBSTITUTE(SUBSTITUTE(SUBSTITUTE(SUBSTITUTE(SUBSTITUTE(SUBSTITUTE(SUBSTITUTE(SUBSTITUTE(LOWER(SUBSTITUTE(SUBSTITUTE(SUBSTITUTE(SUBSTITUTE(SUBSTITUTE(G6,"×","x"),"·",""),"−","-"),"–","-"),"^","")),"μ","u"),"µ","u")," ",""),"k1=",""),"k2=",""),"k3=",""),"kd=",""),"ka=",""),"k=",""),"°c",""),"m-1",""),"um",""),"mm",""))</f>
        <v/>
      </c>
      <c r="AI6">
        <f>TRIM(SUBSTITUTE(SUBSTITUTE(SUBSTITUTE(SUBSTITUTE(SUBSTITUTE(SUBSTITUTE(SUBSTITUTE(SUBSTITUTE(SUBSTITUTE(SUBSTITUTE(SUBSTITUTE(SUBSTITUTE(SUBSTITUTE(LOWER(SUBSTITUTE(SUBSTITUTE(SUBSTITUTE(SUBSTITUTE(SUBSTITUTE(H6,"×","x"),"·",""),"−","-"),"–","-"),"^","")),"μ","u"),"µ","u")," ",""),"k1=",""),"k2=",""),"k3=",""),"kd=",""),"ka=",""),"k=",""),"°c",""),"m-1",""),"um",""),"mm",""))</f>
        <v/>
      </c>
      <c r="AK6">
        <f>TRIM(SUBSTITUTE(SUBSTITUTE(SUBSTITUTE(SUBSTITUTE(SUBSTITUTE(SUBSTITUTE(SUBSTITUTE(SUBSTITUTE(SUBSTITUTE(SUBSTITUTE(SUBSTITUTE(SUBSTITUTE(SUBSTITUTE(LOWER(SUBSTITUTE(SUBSTITUTE(SUBSTITUTE(SUBSTITUTE(SUBSTITUTE(J6,"×","x"),"·",""),"−","-"),"–","-"),"^","")),"μ","u"),"µ","u")," ",""),"k1=",""),"k2=",""),"k3=",""),"kd=",""),"ka=",""),"k=",""),"°c",""),"m-1",""),"um",""),"mm",""))</f>
        <v/>
      </c>
      <c r="AL6">
        <f>TRIM(SUBSTITUTE(SUBSTITUTE(SUBSTITUTE(SUBSTITUTE(SUBSTITUTE(SUBSTITUTE(SUBSTITUTE(SUBSTITUTE(SUBSTITUTE(SUBSTITUTE(SUBSTITUTE(SUBSTITUTE(SUBSTITUTE(LOWER(SUBSTITUTE(SUBSTITUTE(SUBSTITUTE(SUBSTITUTE(SUBSTITUTE(K6,"×","x"),"·",""),"−","-"),"–","-"),"^","")),"μ","u"),"µ","u")," ",""),"k1=",""),"k2=",""),"k3=",""),"kd=",""),"ka=",""),"k=",""),"°c",""),"m-1",""),"um",""),"mm",""))</f>
        <v/>
      </c>
      <c r="AM6">
        <f>TRIM(SUBSTITUTE(SUBSTITUTE(SUBSTITUTE(SUBSTITUTE(SUBSTITUTE(SUBSTITUTE(SUBSTITUTE(SUBSTITUTE(SUBSTITUTE(SUBSTITUTE(SUBSTITUTE(SUBSTITUTE(SUBSTITUTE(LOWER(SUBSTITUTE(SUBSTITUTE(SUBSTITUTE(SUBSTITUTE(SUBSTITUTE(L6,"×","x"),"·",""),"−","-"),"–","-"),"^","")),"μ","u"),"µ","u")," ",""),"k1=",""),"k2=",""),"k3=",""),"kd=",""),"ka=",""),"k=",""),"°c",""),"m-1",""),"um",""),"mm",""))</f>
        <v/>
      </c>
      <c r="AN6">
        <f>TRIM(SUBSTITUTE(SUBSTITUTE(SUBSTITUTE(SUBSTITUTE(SUBSTITUTE(SUBSTITUTE(SUBSTITUTE(SUBSTITUTE(SUBSTITUTE(SUBSTITUTE(SUBSTITUTE(SUBSTITUTE(SUBSTITUTE(LOWER(SUBSTITUTE(SUBSTITUTE(SUBSTITUTE(SUBSTITUTE(SUBSTITUTE(M6,"×","x"),"·",""),"−","-"),"–","-"),"^","")),"μ","u"),"µ","u")," ",""),"k1=",""),"k2=",""),"k3=",""),"kd=",""),"ka=",""),"k=",""),"°c",""),"m-1",""),"um",""),"mm",""))</f>
        <v/>
      </c>
      <c r="AO6">
        <f>TRIM(SUBSTITUTE(SUBSTITUTE(SUBSTITUTE(SUBSTITUTE(SUBSTITUTE(SUBSTITUTE(SUBSTITUTE(SUBSTITUTE(SUBSTITUTE(SUBSTITUTE(SUBSTITUTE(SUBSTITUTE(SUBSTITUTE(LOWER(SUBSTITUTE(SUBSTITUTE(SUBSTITUTE(SUBSTITUTE(SUBSTITUTE(N6,"×","x"),"·",""),"−","-"),"–","-"),"^","")),"μ","u"),"µ","u")," ",""),"k1=",""),"k2=",""),"k3=",""),"kd=",""),"ka=",""),"k=",""),"°c",""),"m-1",""),"um",""),"mm",""))</f>
        <v/>
      </c>
      <c r="AP6">
        <f>TRIM(SUBSTITUTE(SUBSTITUTE(SUBSTITUTE(SUBSTITUTE(SUBSTITUTE(SUBSTITUTE(SUBSTITUTE(SUBSTITUTE(SUBSTITUTE(SUBSTITUTE(SUBSTITUTE(SUBSTITUTE(SUBSTITUTE(LOWER(SUBSTITUTE(SUBSTITUTE(SUBSTITUTE(SUBSTITUTE(SUBSTITUTE(O6,"×","x"),"·",""),"−","-"),"–","-"),"^","")),"μ","u"),"µ","u")," ",""),"k1=",""),"k2=",""),"k3=",""),"kd=",""),"ka=",""),"k=",""),"°c",""),"m-1",""),"um",""),"mm",""))</f>
        <v/>
      </c>
      <c r="AQ6">
        <f>TRIM(SUBSTITUTE(SUBSTITUTE(SUBSTITUTE(SUBSTITUTE(SUBSTITUTE(SUBSTITUTE(SUBSTITUTE(SUBSTITUTE(SUBSTITUTE(SUBSTITUTE(SUBSTITUTE(SUBSTITUTE(SUBSTITUTE(LOWER(SUBSTITUTE(SUBSTITUTE(SUBSTITUTE(SUBSTITUTE(SUBSTITUTE(P6,"×","x"),"·",""),"−","-"),"–","-"),"^","")),"μ","u"),"µ","u")," ",""),"k1=",""),"k2=",""),"k3=",""),"kd=",""),"ka=",""),"k=",""),"°c",""),"m-1",""),"um",""),"mm",""))</f>
        <v/>
      </c>
    </row>
    <row r="7">
      <c r="A7" s="10" t="n">
        <v>4</v>
      </c>
      <c r="B7" s="11" t="inlineStr">
        <is>
          <t>Bovine</t>
        </is>
      </c>
      <c r="C7" s="11" t="n">
        <v>4</v>
      </c>
      <c r="D7" s="11" t="inlineStr">
        <is>
          <t>TnC-TnI</t>
        </is>
      </c>
      <c r="E7" s="11" t="inlineStr">
        <is>
          <t>SC</t>
        </is>
      </c>
      <c r="F7" s="11" t="inlineStr">
        <is>
          <t>None</t>
        </is>
      </c>
      <c r="G7" s="11" t="inlineStr">
        <is>
          <t>1 x 10^6</t>
        </is>
      </c>
      <c r="H7" s="11" t="n">
        <v>1</v>
      </c>
      <c r="J7" s="12" t="n"/>
      <c r="K7" s="12" t="n"/>
      <c r="L7" s="12" t="n"/>
      <c r="M7" s="12" t="n"/>
      <c r="N7" s="12" t="n"/>
      <c r="O7" s="12" t="n"/>
      <c r="P7" s="12" t="n"/>
      <c r="R7" s="13">
        <f>IF(J7="",0,IF(EXACT($AC7,$AK7),1,IF(IFERROR(VALUE($AC7)=VALUE($AK7),FALSE),1,0)))</f>
        <v/>
      </c>
      <c r="S7" s="13">
        <f>IF(K7="",0,IF(EXACT($AD7,$AL7),1,IF(IFERROR(VALUE($AD7)=VALUE($AL7),FALSE),1,0)))</f>
        <v/>
      </c>
      <c r="T7" s="13">
        <f>IF(L7="",0,IF(EXACT($AE7,$AM7),1,IF(IFERROR(VALUE($AE7)=VALUE($AM7),FALSE),1,0)))</f>
        <v/>
      </c>
      <c r="U7" s="13">
        <f>IF(M7="",0,IF(EXACT($AF7,$AN7),1,IF(IFERROR(VALUE($AF7)=VALUE($AN7),FALSE),1,0)))</f>
        <v/>
      </c>
      <c r="V7" s="13">
        <f>IF(N7="",0,IF(EXACT($AG7,$AO7),1,IF(IFERROR(VALUE($AG7)=VALUE($AO7),FALSE),1,0)))</f>
        <v/>
      </c>
      <c r="W7" s="13">
        <f>IF(O7="",0,IF(EXACT($AH7,$AP7),1,IF(IFERROR(VALUE($AH7)=VALUE($AP7),FALSE),1,0)))</f>
        <v/>
      </c>
      <c r="X7" s="13">
        <f>IF(P7="",0,IF(EXACT($AI7,$AQ7),1,IF(IFERROR(VALUE($AI7)=VALUE($AQ7),FALSE),1,0)))</f>
        <v/>
      </c>
      <c r="Y7" s="13">
        <f>SUM(R7:X7)</f>
        <v/>
      </c>
      <c r="Z7" s="14" t="n"/>
      <c r="AA7" s="13">
        <f>IF(Z7="",Y7,Z7)</f>
        <v/>
      </c>
      <c r="AC7">
        <f>TRIM(SUBSTITUTE(SUBSTITUTE(SUBSTITUTE(SUBSTITUTE(SUBSTITUTE(SUBSTITUTE(SUBSTITUTE(SUBSTITUTE(SUBSTITUTE(SUBSTITUTE(SUBSTITUTE(SUBSTITUTE(SUBSTITUTE(LOWER(SUBSTITUTE(SUBSTITUTE(SUBSTITUTE(SUBSTITUTE(SUBSTITUTE(B7,"×","x"),"·",""),"−","-"),"–","-"),"^","")),"μ","u"),"µ","u")," ",""),"k1=",""),"k2=",""),"k3=",""),"kd=",""),"ka=",""),"k=",""),"°c",""),"m-1",""),"um",""),"mm",""))</f>
        <v/>
      </c>
      <c r="AD7">
        <f>TRIM(SUBSTITUTE(SUBSTITUTE(SUBSTITUTE(SUBSTITUTE(SUBSTITUTE(SUBSTITUTE(SUBSTITUTE(SUBSTITUTE(SUBSTITUTE(SUBSTITUTE(SUBSTITUTE(SUBSTITUTE(SUBSTITUTE(LOWER(SUBSTITUTE(SUBSTITUTE(SUBSTITUTE(SUBSTITUTE(SUBSTITUTE(C7,"×","x"),"·",""),"−","-"),"–","-"),"^","")),"μ","u"),"µ","u")," ",""),"k1=",""),"k2=",""),"k3=",""),"kd=",""),"ka=",""),"k=",""),"°c",""),"m-1",""),"um",""),"mm",""))</f>
        <v/>
      </c>
      <c r="AE7">
        <f>TRIM(SUBSTITUTE(SUBSTITUTE(SUBSTITUTE(SUBSTITUTE(SUBSTITUTE(SUBSTITUTE(SUBSTITUTE(SUBSTITUTE(SUBSTITUTE(SUBSTITUTE(SUBSTITUTE(SUBSTITUTE(SUBSTITUTE(LOWER(SUBSTITUTE(SUBSTITUTE(SUBSTITUTE(SUBSTITUTE(SUBSTITUTE(D7,"×","x"),"·",""),"−","-"),"–","-"),"^","")),"μ","u"),"µ","u")," ",""),"k1=",""),"k2=",""),"k3=",""),"kd=",""),"ka=",""),"k=",""),"°c",""),"m-1",""),"um",""),"mm",""))</f>
        <v/>
      </c>
      <c r="AF7">
        <f>TRIM(SUBSTITUTE(SUBSTITUTE(SUBSTITUTE(SUBSTITUTE(SUBSTITUTE(SUBSTITUTE(SUBSTITUTE(SUBSTITUTE(SUBSTITUTE(SUBSTITUTE(SUBSTITUTE(SUBSTITUTE(SUBSTITUTE(LOWER(SUBSTITUTE(SUBSTITUTE(SUBSTITUTE(SUBSTITUTE(SUBSTITUTE(E7,"×","x"),"·",""),"−","-"),"–","-"),"^","")),"μ","u"),"µ","u")," ",""),"k1=",""),"k2=",""),"k3=",""),"kd=",""),"ka=",""),"k=",""),"°c",""),"m-1",""),"um",""),"mm",""))</f>
        <v/>
      </c>
      <c r="AG7">
        <f>TRIM(SUBSTITUTE(SUBSTITUTE(SUBSTITUTE(SUBSTITUTE(SUBSTITUTE(SUBSTITUTE(SUBSTITUTE(SUBSTITUTE(SUBSTITUTE(SUBSTITUTE(SUBSTITUTE(SUBSTITUTE(SUBSTITUTE(LOWER(SUBSTITUTE(SUBSTITUTE(SUBSTITUTE(SUBSTITUTE(SUBSTITUTE(F7,"×","x"),"·",""),"−","-"),"–","-"),"^","")),"μ","u"),"µ","u")," ",""),"k1=",""),"k2=",""),"k3=",""),"kd=",""),"ka=",""),"k=",""),"°c",""),"m-1",""),"um",""),"mm",""))</f>
        <v/>
      </c>
      <c r="AH7">
        <f>TRIM(SUBSTITUTE(SUBSTITUTE(SUBSTITUTE(SUBSTITUTE(SUBSTITUTE(SUBSTITUTE(SUBSTITUTE(SUBSTITUTE(SUBSTITUTE(SUBSTITUTE(SUBSTITUTE(SUBSTITUTE(SUBSTITUTE(LOWER(SUBSTITUTE(SUBSTITUTE(SUBSTITUTE(SUBSTITUTE(SUBSTITUTE(G7,"×","x"),"·",""),"−","-"),"–","-"),"^","")),"μ","u"),"µ","u")," ",""),"k1=",""),"k2=",""),"k3=",""),"kd=",""),"ka=",""),"k=",""),"°c",""),"m-1",""),"um",""),"mm",""))</f>
        <v/>
      </c>
      <c r="AI7">
        <f>TRIM(SUBSTITUTE(SUBSTITUTE(SUBSTITUTE(SUBSTITUTE(SUBSTITUTE(SUBSTITUTE(SUBSTITUTE(SUBSTITUTE(SUBSTITUTE(SUBSTITUTE(SUBSTITUTE(SUBSTITUTE(SUBSTITUTE(LOWER(SUBSTITUTE(SUBSTITUTE(SUBSTITUTE(SUBSTITUTE(SUBSTITUTE(H7,"×","x"),"·",""),"−","-"),"–","-"),"^","")),"μ","u"),"µ","u")," ",""),"k1=",""),"k2=",""),"k3=",""),"kd=",""),"ka=",""),"k=",""),"°c",""),"m-1",""),"um",""),"mm",""))</f>
        <v/>
      </c>
      <c r="AK7">
        <f>TRIM(SUBSTITUTE(SUBSTITUTE(SUBSTITUTE(SUBSTITUTE(SUBSTITUTE(SUBSTITUTE(SUBSTITUTE(SUBSTITUTE(SUBSTITUTE(SUBSTITUTE(SUBSTITUTE(SUBSTITUTE(SUBSTITUTE(LOWER(SUBSTITUTE(SUBSTITUTE(SUBSTITUTE(SUBSTITUTE(SUBSTITUTE(J7,"×","x"),"·",""),"−","-"),"–","-"),"^","")),"μ","u"),"µ","u")," ",""),"k1=",""),"k2=",""),"k3=",""),"kd=",""),"ka=",""),"k=",""),"°c",""),"m-1",""),"um",""),"mm",""))</f>
        <v/>
      </c>
      <c r="AL7">
        <f>TRIM(SUBSTITUTE(SUBSTITUTE(SUBSTITUTE(SUBSTITUTE(SUBSTITUTE(SUBSTITUTE(SUBSTITUTE(SUBSTITUTE(SUBSTITUTE(SUBSTITUTE(SUBSTITUTE(SUBSTITUTE(SUBSTITUTE(LOWER(SUBSTITUTE(SUBSTITUTE(SUBSTITUTE(SUBSTITUTE(SUBSTITUTE(K7,"×","x"),"·",""),"−","-"),"–","-"),"^","")),"μ","u"),"µ","u")," ",""),"k1=",""),"k2=",""),"k3=",""),"kd=",""),"ka=",""),"k=",""),"°c",""),"m-1",""),"um",""),"mm",""))</f>
        <v/>
      </c>
      <c r="AM7">
        <f>TRIM(SUBSTITUTE(SUBSTITUTE(SUBSTITUTE(SUBSTITUTE(SUBSTITUTE(SUBSTITUTE(SUBSTITUTE(SUBSTITUTE(SUBSTITUTE(SUBSTITUTE(SUBSTITUTE(SUBSTITUTE(SUBSTITUTE(LOWER(SUBSTITUTE(SUBSTITUTE(SUBSTITUTE(SUBSTITUTE(SUBSTITUTE(L7,"×","x"),"·",""),"−","-"),"–","-"),"^","")),"μ","u"),"µ","u")," ",""),"k1=",""),"k2=",""),"k3=",""),"kd=",""),"ka=",""),"k=",""),"°c",""),"m-1",""),"um",""),"mm",""))</f>
        <v/>
      </c>
      <c r="AN7">
        <f>TRIM(SUBSTITUTE(SUBSTITUTE(SUBSTITUTE(SUBSTITUTE(SUBSTITUTE(SUBSTITUTE(SUBSTITUTE(SUBSTITUTE(SUBSTITUTE(SUBSTITUTE(SUBSTITUTE(SUBSTITUTE(SUBSTITUTE(LOWER(SUBSTITUTE(SUBSTITUTE(SUBSTITUTE(SUBSTITUTE(SUBSTITUTE(M7,"×","x"),"·",""),"−","-"),"–","-"),"^","")),"μ","u"),"µ","u")," ",""),"k1=",""),"k2=",""),"k3=",""),"kd=",""),"ka=",""),"k=",""),"°c",""),"m-1",""),"um",""),"mm",""))</f>
        <v/>
      </c>
      <c r="AO7">
        <f>TRIM(SUBSTITUTE(SUBSTITUTE(SUBSTITUTE(SUBSTITUTE(SUBSTITUTE(SUBSTITUTE(SUBSTITUTE(SUBSTITUTE(SUBSTITUTE(SUBSTITUTE(SUBSTITUTE(SUBSTITUTE(SUBSTITUTE(LOWER(SUBSTITUTE(SUBSTITUTE(SUBSTITUTE(SUBSTITUTE(SUBSTITUTE(N7,"×","x"),"·",""),"−","-"),"–","-"),"^","")),"μ","u"),"µ","u")," ",""),"k1=",""),"k2=",""),"k3=",""),"kd=",""),"ka=",""),"k=",""),"°c",""),"m-1",""),"um",""),"mm",""))</f>
        <v/>
      </c>
      <c r="AP7">
        <f>TRIM(SUBSTITUTE(SUBSTITUTE(SUBSTITUTE(SUBSTITUTE(SUBSTITUTE(SUBSTITUTE(SUBSTITUTE(SUBSTITUTE(SUBSTITUTE(SUBSTITUTE(SUBSTITUTE(SUBSTITUTE(SUBSTITUTE(LOWER(SUBSTITUTE(SUBSTITUTE(SUBSTITUTE(SUBSTITUTE(SUBSTITUTE(O7,"×","x"),"·",""),"−","-"),"–","-"),"^","")),"μ","u"),"µ","u")," ",""),"k1=",""),"k2=",""),"k3=",""),"kd=",""),"ka=",""),"k=",""),"°c",""),"m-1",""),"um",""),"mm",""))</f>
        <v/>
      </c>
      <c r="AQ7">
        <f>TRIM(SUBSTITUTE(SUBSTITUTE(SUBSTITUTE(SUBSTITUTE(SUBSTITUTE(SUBSTITUTE(SUBSTITUTE(SUBSTITUTE(SUBSTITUTE(SUBSTITUTE(SUBSTITUTE(SUBSTITUTE(SUBSTITUTE(LOWER(SUBSTITUTE(SUBSTITUTE(SUBSTITUTE(SUBSTITUTE(SUBSTITUTE(P7,"×","x"),"·",""),"−","-"),"–","-"),"^","")),"μ","u"),"µ","u")," ",""),"k1=",""),"k2=",""),"k3=",""),"kd=",""),"ka=",""),"k=",""),"°c",""),"m-1",""),"um",""),"mm",""))</f>
        <v/>
      </c>
    </row>
    <row r="8">
      <c r="A8" s="10" t="n">
        <v>5</v>
      </c>
      <c r="B8" s="11" t="inlineStr">
        <is>
          <t>Bovine</t>
        </is>
      </c>
      <c r="C8" s="11" t="n">
        <v>4</v>
      </c>
      <c r="D8" s="11" t="inlineStr">
        <is>
          <t>Tn</t>
        </is>
      </c>
      <c r="E8" s="11" t="inlineStr">
        <is>
          <t>SC</t>
        </is>
      </c>
      <c r="F8" s="11" t="inlineStr">
        <is>
          <t>None</t>
        </is>
      </c>
      <c r="G8" s="11" t="inlineStr">
        <is>
          <t>2.5 x 10^6</t>
        </is>
      </c>
      <c r="H8" s="11" t="n">
        <v>0.4</v>
      </c>
      <c r="J8" s="12" t="n"/>
      <c r="K8" s="12" t="n"/>
      <c r="L8" s="12" t="n"/>
      <c r="M8" s="12" t="n"/>
      <c r="N8" s="12" t="n"/>
      <c r="O8" s="12" t="n"/>
      <c r="P8" s="12" t="n"/>
      <c r="R8" s="13">
        <f>IF(J8="",0,IF(EXACT($AC8,$AK8),1,IF(IFERROR(VALUE($AC8)=VALUE($AK8),FALSE),1,0)))</f>
        <v/>
      </c>
      <c r="S8" s="13">
        <f>IF(K8="",0,IF(EXACT($AD8,$AL8),1,IF(IFERROR(VALUE($AD8)=VALUE($AL8),FALSE),1,0)))</f>
        <v/>
      </c>
      <c r="T8" s="13">
        <f>IF(L8="",0,IF(EXACT($AE8,$AM8),1,IF(IFERROR(VALUE($AE8)=VALUE($AM8),FALSE),1,0)))</f>
        <v/>
      </c>
      <c r="U8" s="13">
        <f>IF(M8="",0,IF(EXACT($AF8,$AN8),1,IF(IFERROR(VALUE($AF8)=VALUE($AN8),FALSE),1,0)))</f>
        <v/>
      </c>
      <c r="V8" s="13">
        <f>IF(N8="",0,IF(EXACT($AG8,$AO8),1,IF(IFERROR(VALUE($AG8)=VALUE($AO8),FALSE),1,0)))</f>
        <v/>
      </c>
      <c r="W8" s="13">
        <f>IF(O8="",0,IF(EXACT($AH8,$AP8),1,IF(IFERROR(VALUE($AH8)=VALUE($AP8),FALSE),1,0)))</f>
        <v/>
      </c>
      <c r="X8" s="13">
        <f>IF(P8="",0,IF(EXACT($AI8,$AQ8),1,IF(IFERROR(VALUE($AI8)=VALUE($AQ8),FALSE),1,0)))</f>
        <v/>
      </c>
      <c r="Y8" s="13">
        <f>SUM(R8:X8)</f>
        <v/>
      </c>
      <c r="Z8" s="14" t="n"/>
      <c r="AA8" s="13">
        <f>IF(Z8="",Y8,Z8)</f>
        <v/>
      </c>
      <c r="AC8">
        <f>TRIM(SUBSTITUTE(SUBSTITUTE(SUBSTITUTE(SUBSTITUTE(SUBSTITUTE(SUBSTITUTE(SUBSTITUTE(SUBSTITUTE(SUBSTITUTE(SUBSTITUTE(SUBSTITUTE(SUBSTITUTE(SUBSTITUTE(LOWER(SUBSTITUTE(SUBSTITUTE(SUBSTITUTE(SUBSTITUTE(SUBSTITUTE(B8,"×","x"),"·",""),"−","-"),"–","-"),"^","")),"μ","u"),"µ","u")," ",""),"k1=",""),"k2=",""),"k3=",""),"kd=",""),"ka=",""),"k=",""),"°c",""),"m-1",""),"um",""),"mm",""))</f>
        <v/>
      </c>
      <c r="AD8">
        <f>TRIM(SUBSTITUTE(SUBSTITUTE(SUBSTITUTE(SUBSTITUTE(SUBSTITUTE(SUBSTITUTE(SUBSTITUTE(SUBSTITUTE(SUBSTITUTE(SUBSTITUTE(SUBSTITUTE(SUBSTITUTE(SUBSTITUTE(LOWER(SUBSTITUTE(SUBSTITUTE(SUBSTITUTE(SUBSTITUTE(SUBSTITUTE(C8,"×","x"),"·",""),"−","-"),"–","-"),"^","")),"μ","u"),"µ","u")," ",""),"k1=",""),"k2=",""),"k3=",""),"kd=",""),"ka=",""),"k=",""),"°c",""),"m-1",""),"um",""),"mm",""))</f>
        <v/>
      </c>
      <c r="AE8">
        <f>TRIM(SUBSTITUTE(SUBSTITUTE(SUBSTITUTE(SUBSTITUTE(SUBSTITUTE(SUBSTITUTE(SUBSTITUTE(SUBSTITUTE(SUBSTITUTE(SUBSTITUTE(SUBSTITUTE(SUBSTITUTE(SUBSTITUTE(LOWER(SUBSTITUTE(SUBSTITUTE(SUBSTITUTE(SUBSTITUTE(SUBSTITUTE(D8,"×","x"),"·",""),"−","-"),"–","-"),"^","")),"μ","u"),"µ","u")," ",""),"k1=",""),"k2=",""),"k3=",""),"kd=",""),"ka=",""),"k=",""),"°c",""),"m-1",""),"um",""),"mm",""))</f>
        <v/>
      </c>
      <c r="AF8">
        <f>TRIM(SUBSTITUTE(SUBSTITUTE(SUBSTITUTE(SUBSTITUTE(SUBSTITUTE(SUBSTITUTE(SUBSTITUTE(SUBSTITUTE(SUBSTITUTE(SUBSTITUTE(SUBSTITUTE(SUBSTITUTE(SUBSTITUTE(LOWER(SUBSTITUTE(SUBSTITUTE(SUBSTITUTE(SUBSTITUTE(SUBSTITUTE(E8,"×","x"),"·",""),"−","-"),"–","-"),"^","")),"μ","u"),"µ","u")," ",""),"k1=",""),"k2=",""),"k3=",""),"kd=",""),"ka=",""),"k=",""),"°c",""),"m-1",""),"um",""),"mm",""))</f>
        <v/>
      </c>
      <c r="AG8">
        <f>TRIM(SUBSTITUTE(SUBSTITUTE(SUBSTITUTE(SUBSTITUTE(SUBSTITUTE(SUBSTITUTE(SUBSTITUTE(SUBSTITUTE(SUBSTITUTE(SUBSTITUTE(SUBSTITUTE(SUBSTITUTE(SUBSTITUTE(LOWER(SUBSTITUTE(SUBSTITUTE(SUBSTITUTE(SUBSTITUTE(SUBSTITUTE(F8,"×","x"),"·",""),"−","-"),"–","-"),"^","")),"μ","u"),"µ","u")," ",""),"k1=",""),"k2=",""),"k3=",""),"kd=",""),"ka=",""),"k=",""),"°c",""),"m-1",""),"um",""),"mm",""))</f>
        <v/>
      </c>
      <c r="AH8">
        <f>TRIM(SUBSTITUTE(SUBSTITUTE(SUBSTITUTE(SUBSTITUTE(SUBSTITUTE(SUBSTITUTE(SUBSTITUTE(SUBSTITUTE(SUBSTITUTE(SUBSTITUTE(SUBSTITUTE(SUBSTITUTE(SUBSTITUTE(LOWER(SUBSTITUTE(SUBSTITUTE(SUBSTITUTE(SUBSTITUTE(SUBSTITUTE(G8,"×","x"),"·",""),"−","-"),"–","-"),"^","")),"μ","u"),"µ","u")," ",""),"k1=",""),"k2=",""),"k3=",""),"kd=",""),"ka=",""),"k=",""),"°c",""),"m-1",""),"um",""),"mm",""))</f>
        <v/>
      </c>
      <c r="AI8">
        <f>TRIM(SUBSTITUTE(SUBSTITUTE(SUBSTITUTE(SUBSTITUTE(SUBSTITUTE(SUBSTITUTE(SUBSTITUTE(SUBSTITUTE(SUBSTITUTE(SUBSTITUTE(SUBSTITUTE(SUBSTITUTE(SUBSTITUTE(LOWER(SUBSTITUTE(SUBSTITUTE(SUBSTITUTE(SUBSTITUTE(SUBSTITUTE(H8,"×","x"),"·",""),"−","-"),"–","-"),"^","")),"μ","u"),"µ","u")," ",""),"k1=",""),"k2=",""),"k3=",""),"kd=",""),"ka=",""),"k=",""),"°c",""),"m-1",""),"um",""),"mm",""))</f>
        <v/>
      </c>
      <c r="AK8">
        <f>TRIM(SUBSTITUTE(SUBSTITUTE(SUBSTITUTE(SUBSTITUTE(SUBSTITUTE(SUBSTITUTE(SUBSTITUTE(SUBSTITUTE(SUBSTITUTE(SUBSTITUTE(SUBSTITUTE(SUBSTITUTE(SUBSTITUTE(LOWER(SUBSTITUTE(SUBSTITUTE(SUBSTITUTE(SUBSTITUTE(SUBSTITUTE(J8,"×","x"),"·",""),"−","-"),"–","-"),"^","")),"μ","u"),"µ","u")," ",""),"k1=",""),"k2=",""),"k3=",""),"kd=",""),"ka=",""),"k=",""),"°c",""),"m-1",""),"um",""),"mm",""))</f>
        <v/>
      </c>
      <c r="AL8">
        <f>TRIM(SUBSTITUTE(SUBSTITUTE(SUBSTITUTE(SUBSTITUTE(SUBSTITUTE(SUBSTITUTE(SUBSTITUTE(SUBSTITUTE(SUBSTITUTE(SUBSTITUTE(SUBSTITUTE(SUBSTITUTE(SUBSTITUTE(LOWER(SUBSTITUTE(SUBSTITUTE(SUBSTITUTE(SUBSTITUTE(SUBSTITUTE(K8,"×","x"),"·",""),"−","-"),"–","-"),"^","")),"μ","u"),"µ","u")," ",""),"k1=",""),"k2=",""),"k3=",""),"kd=",""),"ka=",""),"k=",""),"°c",""),"m-1",""),"um",""),"mm",""))</f>
        <v/>
      </c>
      <c r="AM8">
        <f>TRIM(SUBSTITUTE(SUBSTITUTE(SUBSTITUTE(SUBSTITUTE(SUBSTITUTE(SUBSTITUTE(SUBSTITUTE(SUBSTITUTE(SUBSTITUTE(SUBSTITUTE(SUBSTITUTE(SUBSTITUTE(SUBSTITUTE(LOWER(SUBSTITUTE(SUBSTITUTE(SUBSTITUTE(SUBSTITUTE(SUBSTITUTE(L8,"×","x"),"·",""),"−","-"),"–","-"),"^","")),"μ","u"),"µ","u")," ",""),"k1=",""),"k2=",""),"k3=",""),"kd=",""),"ka=",""),"k=",""),"°c",""),"m-1",""),"um",""),"mm",""))</f>
        <v/>
      </c>
      <c r="AN8">
        <f>TRIM(SUBSTITUTE(SUBSTITUTE(SUBSTITUTE(SUBSTITUTE(SUBSTITUTE(SUBSTITUTE(SUBSTITUTE(SUBSTITUTE(SUBSTITUTE(SUBSTITUTE(SUBSTITUTE(SUBSTITUTE(SUBSTITUTE(LOWER(SUBSTITUTE(SUBSTITUTE(SUBSTITUTE(SUBSTITUTE(SUBSTITUTE(M8,"×","x"),"·",""),"−","-"),"–","-"),"^","")),"μ","u"),"µ","u")," ",""),"k1=",""),"k2=",""),"k3=",""),"kd=",""),"ka=",""),"k=",""),"°c",""),"m-1",""),"um",""),"mm",""))</f>
        <v/>
      </c>
      <c r="AO8">
        <f>TRIM(SUBSTITUTE(SUBSTITUTE(SUBSTITUTE(SUBSTITUTE(SUBSTITUTE(SUBSTITUTE(SUBSTITUTE(SUBSTITUTE(SUBSTITUTE(SUBSTITUTE(SUBSTITUTE(SUBSTITUTE(SUBSTITUTE(LOWER(SUBSTITUTE(SUBSTITUTE(SUBSTITUTE(SUBSTITUTE(SUBSTITUTE(N8,"×","x"),"·",""),"−","-"),"–","-"),"^","")),"μ","u"),"µ","u")," ",""),"k1=",""),"k2=",""),"k3=",""),"kd=",""),"ka=",""),"k=",""),"°c",""),"m-1",""),"um",""),"mm",""))</f>
        <v/>
      </c>
      <c r="AP8">
        <f>TRIM(SUBSTITUTE(SUBSTITUTE(SUBSTITUTE(SUBSTITUTE(SUBSTITUTE(SUBSTITUTE(SUBSTITUTE(SUBSTITUTE(SUBSTITUTE(SUBSTITUTE(SUBSTITUTE(SUBSTITUTE(SUBSTITUTE(LOWER(SUBSTITUTE(SUBSTITUTE(SUBSTITUTE(SUBSTITUTE(SUBSTITUTE(O8,"×","x"),"·",""),"−","-"),"–","-"),"^","")),"μ","u"),"µ","u")," ",""),"k1=",""),"k2=",""),"k3=",""),"kd=",""),"ka=",""),"k=",""),"°c",""),"m-1",""),"um",""),"mm",""))</f>
        <v/>
      </c>
      <c r="AQ8">
        <f>TRIM(SUBSTITUTE(SUBSTITUTE(SUBSTITUTE(SUBSTITUTE(SUBSTITUTE(SUBSTITUTE(SUBSTITUTE(SUBSTITUTE(SUBSTITUTE(SUBSTITUTE(SUBSTITUTE(SUBSTITUTE(SUBSTITUTE(LOWER(SUBSTITUTE(SUBSTITUTE(SUBSTITUTE(SUBSTITUTE(SUBSTITUTE(P8,"×","x"),"·",""),"−","-"),"–","-"),"^","")),"μ","u"),"µ","u")," ",""),"k1=",""),"k2=",""),"k3=",""),"kd=",""),"ka=",""),"k=",""),"°c",""),"m-1",""),"um",""),"mm",""))</f>
        <v/>
      </c>
    </row>
    <row r="9">
      <c r="A9" s="10" t="n">
        <v>6</v>
      </c>
      <c r="B9" s="11" t="inlineStr">
        <is>
          <t>Bovine</t>
        </is>
      </c>
      <c r="C9" s="11" t="n">
        <v>4</v>
      </c>
      <c r="D9" s="11" t="inlineStr">
        <is>
          <t>Tn</t>
        </is>
      </c>
      <c r="E9" s="11" t="inlineStr">
        <is>
          <t>SC</t>
        </is>
      </c>
      <c r="F9" s="11" t="n">
        <v>4</v>
      </c>
      <c r="G9" s="11" t="inlineStr">
        <is>
          <t>2.5 x 10^6</t>
        </is>
      </c>
      <c r="H9" s="11" t="n">
        <v>0.4</v>
      </c>
      <c r="J9" s="12" t="n"/>
      <c r="K9" s="12" t="n"/>
      <c r="L9" s="12" t="n"/>
      <c r="M9" s="12" t="n"/>
      <c r="N9" s="12" t="n"/>
      <c r="O9" s="12" t="n"/>
      <c r="P9" s="12" t="n"/>
      <c r="R9" s="13">
        <f>IF(J9="",0,IF(EXACT($AC9,$AK9),1,IF(IFERROR(VALUE($AC9)=VALUE($AK9),FALSE),1,0)))</f>
        <v/>
      </c>
      <c r="S9" s="13">
        <f>IF(K9="",0,IF(EXACT($AD9,$AL9),1,IF(IFERROR(VALUE($AD9)=VALUE($AL9),FALSE),1,0)))</f>
        <v/>
      </c>
      <c r="T9" s="13">
        <f>IF(L9="",0,IF(EXACT($AE9,$AM9),1,IF(IFERROR(VALUE($AE9)=VALUE($AM9),FALSE),1,0)))</f>
        <v/>
      </c>
      <c r="U9" s="13">
        <f>IF(M9="",0,IF(EXACT($AF9,$AN9),1,IF(IFERROR(VALUE($AF9)=VALUE($AN9),FALSE),1,0)))</f>
        <v/>
      </c>
      <c r="V9" s="13">
        <f>IF(N9="",0,IF(EXACT($AG9,$AO9),1,IF(IFERROR(VALUE($AG9)=VALUE($AO9),FALSE),1,0)))</f>
        <v/>
      </c>
      <c r="W9" s="13">
        <f>IF(O9="",0,IF(EXACT($AH9,$AP9),1,IF(IFERROR(VALUE($AH9)=VALUE($AP9),FALSE),1,0)))</f>
        <v/>
      </c>
      <c r="X9" s="13">
        <f>IF(P9="",0,IF(EXACT($AI9,$AQ9),1,IF(IFERROR(VALUE($AI9)=VALUE($AQ9),FALSE),1,0)))</f>
        <v/>
      </c>
      <c r="Y9" s="13">
        <f>SUM(R9:X9)</f>
        <v/>
      </c>
      <c r="Z9" s="14" t="n"/>
      <c r="AA9" s="13">
        <f>IF(Z9="",Y9,Z9)</f>
        <v/>
      </c>
      <c r="AC9">
        <f>TRIM(SUBSTITUTE(SUBSTITUTE(SUBSTITUTE(SUBSTITUTE(SUBSTITUTE(SUBSTITUTE(SUBSTITUTE(SUBSTITUTE(SUBSTITUTE(SUBSTITUTE(SUBSTITUTE(SUBSTITUTE(SUBSTITUTE(LOWER(SUBSTITUTE(SUBSTITUTE(SUBSTITUTE(SUBSTITUTE(SUBSTITUTE(B9,"×","x"),"·",""),"−","-"),"–","-"),"^","")),"μ","u"),"µ","u")," ",""),"k1=",""),"k2=",""),"k3=",""),"kd=",""),"ka=",""),"k=",""),"°c",""),"m-1",""),"um",""),"mm",""))</f>
        <v/>
      </c>
      <c r="AD9">
        <f>TRIM(SUBSTITUTE(SUBSTITUTE(SUBSTITUTE(SUBSTITUTE(SUBSTITUTE(SUBSTITUTE(SUBSTITUTE(SUBSTITUTE(SUBSTITUTE(SUBSTITUTE(SUBSTITUTE(SUBSTITUTE(SUBSTITUTE(LOWER(SUBSTITUTE(SUBSTITUTE(SUBSTITUTE(SUBSTITUTE(SUBSTITUTE(C9,"×","x"),"·",""),"−","-"),"–","-"),"^","")),"μ","u"),"µ","u")," ",""),"k1=",""),"k2=",""),"k3=",""),"kd=",""),"ka=",""),"k=",""),"°c",""),"m-1",""),"um",""),"mm",""))</f>
        <v/>
      </c>
      <c r="AE9">
        <f>TRIM(SUBSTITUTE(SUBSTITUTE(SUBSTITUTE(SUBSTITUTE(SUBSTITUTE(SUBSTITUTE(SUBSTITUTE(SUBSTITUTE(SUBSTITUTE(SUBSTITUTE(SUBSTITUTE(SUBSTITUTE(SUBSTITUTE(LOWER(SUBSTITUTE(SUBSTITUTE(SUBSTITUTE(SUBSTITUTE(SUBSTITUTE(D9,"×","x"),"·",""),"−","-"),"–","-"),"^","")),"μ","u"),"µ","u")," ",""),"k1=",""),"k2=",""),"k3=",""),"kd=",""),"ka=",""),"k=",""),"°c",""),"m-1",""),"um",""),"mm",""))</f>
        <v/>
      </c>
      <c r="AF9">
        <f>TRIM(SUBSTITUTE(SUBSTITUTE(SUBSTITUTE(SUBSTITUTE(SUBSTITUTE(SUBSTITUTE(SUBSTITUTE(SUBSTITUTE(SUBSTITUTE(SUBSTITUTE(SUBSTITUTE(SUBSTITUTE(SUBSTITUTE(LOWER(SUBSTITUTE(SUBSTITUTE(SUBSTITUTE(SUBSTITUTE(SUBSTITUTE(E9,"×","x"),"·",""),"−","-"),"–","-"),"^","")),"μ","u"),"µ","u")," ",""),"k1=",""),"k2=",""),"k3=",""),"kd=",""),"ka=",""),"k=",""),"°c",""),"m-1",""),"um",""),"mm",""))</f>
        <v/>
      </c>
      <c r="AG9">
        <f>TRIM(SUBSTITUTE(SUBSTITUTE(SUBSTITUTE(SUBSTITUTE(SUBSTITUTE(SUBSTITUTE(SUBSTITUTE(SUBSTITUTE(SUBSTITUTE(SUBSTITUTE(SUBSTITUTE(SUBSTITUTE(SUBSTITUTE(LOWER(SUBSTITUTE(SUBSTITUTE(SUBSTITUTE(SUBSTITUTE(SUBSTITUTE(F9,"×","x"),"·",""),"−","-"),"–","-"),"^","")),"μ","u"),"µ","u")," ",""),"k1=",""),"k2=",""),"k3=",""),"kd=",""),"ka=",""),"k=",""),"°c",""),"m-1",""),"um",""),"mm",""))</f>
        <v/>
      </c>
      <c r="AH9">
        <f>TRIM(SUBSTITUTE(SUBSTITUTE(SUBSTITUTE(SUBSTITUTE(SUBSTITUTE(SUBSTITUTE(SUBSTITUTE(SUBSTITUTE(SUBSTITUTE(SUBSTITUTE(SUBSTITUTE(SUBSTITUTE(SUBSTITUTE(LOWER(SUBSTITUTE(SUBSTITUTE(SUBSTITUTE(SUBSTITUTE(SUBSTITUTE(G9,"×","x"),"·",""),"−","-"),"–","-"),"^","")),"μ","u"),"µ","u")," ",""),"k1=",""),"k2=",""),"k3=",""),"kd=",""),"ka=",""),"k=",""),"°c",""),"m-1",""),"um",""),"mm",""))</f>
        <v/>
      </c>
      <c r="AI9">
        <f>TRIM(SUBSTITUTE(SUBSTITUTE(SUBSTITUTE(SUBSTITUTE(SUBSTITUTE(SUBSTITUTE(SUBSTITUTE(SUBSTITUTE(SUBSTITUTE(SUBSTITUTE(SUBSTITUTE(SUBSTITUTE(SUBSTITUTE(LOWER(SUBSTITUTE(SUBSTITUTE(SUBSTITUTE(SUBSTITUTE(SUBSTITUTE(H9,"×","x"),"·",""),"−","-"),"–","-"),"^","")),"μ","u"),"µ","u")," ",""),"k1=",""),"k2=",""),"k3=",""),"kd=",""),"ka=",""),"k=",""),"°c",""),"m-1",""),"um",""),"mm",""))</f>
        <v/>
      </c>
      <c r="AK9">
        <f>TRIM(SUBSTITUTE(SUBSTITUTE(SUBSTITUTE(SUBSTITUTE(SUBSTITUTE(SUBSTITUTE(SUBSTITUTE(SUBSTITUTE(SUBSTITUTE(SUBSTITUTE(SUBSTITUTE(SUBSTITUTE(SUBSTITUTE(LOWER(SUBSTITUTE(SUBSTITUTE(SUBSTITUTE(SUBSTITUTE(SUBSTITUTE(J9,"×","x"),"·",""),"−","-"),"–","-"),"^","")),"μ","u"),"µ","u")," ",""),"k1=",""),"k2=",""),"k3=",""),"kd=",""),"ka=",""),"k=",""),"°c",""),"m-1",""),"um",""),"mm",""))</f>
        <v/>
      </c>
      <c r="AL9">
        <f>TRIM(SUBSTITUTE(SUBSTITUTE(SUBSTITUTE(SUBSTITUTE(SUBSTITUTE(SUBSTITUTE(SUBSTITUTE(SUBSTITUTE(SUBSTITUTE(SUBSTITUTE(SUBSTITUTE(SUBSTITUTE(SUBSTITUTE(LOWER(SUBSTITUTE(SUBSTITUTE(SUBSTITUTE(SUBSTITUTE(SUBSTITUTE(K9,"×","x"),"·",""),"−","-"),"–","-"),"^","")),"μ","u"),"µ","u")," ",""),"k1=",""),"k2=",""),"k3=",""),"kd=",""),"ka=",""),"k=",""),"°c",""),"m-1",""),"um",""),"mm",""))</f>
        <v/>
      </c>
      <c r="AM9">
        <f>TRIM(SUBSTITUTE(SUBSTITUTE(SUBSTITUTE(SUBSTITUTE(SUBSTITUTE(SUBSTITUTE(SUBSTITUTE(SUBSTITUTE(SUBSTITUTE(SUBSTITUTE(SUBSTITUTE(SUBSTITUTE(SUBSTITUTE(LOWER(SUBSTITUTE(SUBSTITUTE(SUBSTITUTE(SUBSTITUTE(SUBSTITUTE(L9,"×","x"),"·",""),"−","-"),"–","-"),"^","")),"μ","u"),"µ","u")," ",""),"k1=",""),"k2=",""),"k3=",""),"kd=",""),"ka=",""),"k=",""),"°c",""),"m-1",""),"um",""),"mm",""))</f>
        <v/>
      </c>
      <c r="AN9">
        <f>TRIM(SUBSTITUTE(SUBSTITUTE(SUBSTITUTE(SUBSTITUTE(SUBSTITUTE(SUBSTITUTE(SUBSTITUTE(SUBSTITUTE(SUBSTITUTE(SUBSTITUTE(SUBSTITUTE(SUBSTITUTE(SUBSTITUTE(LOWER(SUBSTITUTE(SUBSTITUTE(SUBSTITUTE(SUBSTITUTE(SUBSTITUTE(M9,"×","x"),"·",""),"−","-"),"–","-"),"^","")),"μ","u"),"µ","u")," ",""),"k1=",""),"k2=",""),"k3=",""),"kd=",""),"ka=",""),"k=",""),"°c",""),"m-1",""),"um",""),"mm",""))</f>
        <v/>
      </c>
      <c r="AO9">
        <f>TRIM(SUBSTITUTE(SUBSTITUTE(SUBSTITUTE(SUBSTITUTE(SUBSTITUTE(SUBSTITUTE(SUBSTITUTE(SUBSTITUTE(SUBSTITUTE(SUBSTITUTE(SUBSTITUTE(SUBSTITUTE(SUBSTITUTE(LOWER(SUBSTITUTE(SUBSTITUTE(SUBSTITUTE(SUBSTITUTE(SUBSTITUTE(N9,"×","x"),"·",""),"−","-"),"–","-"),"^","")),"μ","u"),"µ","u")," ",""),"k1=",""),"k2=",""),"k3=",""),"kd=",""),"ka=",""),"k=",""),"°c",""),"m-1",""),"um",""),"mm",""))</f>
        <v/>
      </c>
      <c r="AP9">
        <f>TRIM(SUBSTITUTE(SUBSTITUTE(SUBSTITUTE(SUBSTITUTE(SUBSTITUTE(SUBSTITUTE(SUBSTITUTE(SUBSTITUTE(SUBSTITUTE(SUBSTITUTE(SUBSTITUTE(SUBSTITUTE(SUBSTITUTE(LOWER(SUBSTITUTE(SUBSTITUTE(SUBSTITUTE(SUBSTITUTE(SUBSTITUTE(O9,"×","x"),"·",""),"−","-"),"–","-"),"^","")),"μ","u"),"µ","u")," ",""),"k1=",""),"k2=",""),"k3=",""),"kd=",""),"ka=",""),"k=",""),"°c",""),"m-1",""),"um",""),"mm",""))</f>
        <v/>
      </c>
      <c r="AQ9">
        <f>TRIM(SUBSTITUTE(SUBSTITUTE(SUBSTITUTE(SUBSTITUTE(SUBSTITUTE(SUBSTITUTE(SUBSTITUTE(SUBSTITUTE(SUBSTITUTE(SUBSTITUTE(SUBSTITUTE(SUBSTITUTE(SUBSTITUTE(LOWER(SUBSTITUTE(SUBSTITUTE(SUBSTITUTE(SUBSTITUTE(SUBSTITUTE(P9,"×","x"),"·",""),"−","-"),"–","-"),"^","")),"μ","u"),"µ","u")," ",""),"k1=",""),"k2=",""),"k3=",""),"kd=",""),"ka=",""),"k=",""),"°c",""),"m-1",""),"um",""),"mm",""))</f>
        <v/>
      </c>
    </row>
    <row r="11">
      <c r="W11" s="2" t="inlineStr">
        <is>
          <t>RUN TOTAL:</t>
        </is>
      </c>
      <c r="Y11" s="15">
        <f>SUM(AA4:AA9)</f>
        <v/>
      </c>
      <c r="Z11" s="3" t="inlineStr">
        <is>
          <t>out of 42</t>
        </is>
      </c>
      <c r="AA11" s="16">
        <f>IF(SUM(AA4:AA9)=0,"",Y11/42)</f>
        <v/>
      </c>
    </row>
    <row r="12">
      <c r="W12" s="3" t="inlineStr">
        <is>
          <t>Accuracy % →</t>
        </is>
      </c>
    </row>
    <row r="14">
      <c r="B14" s="3" t="inlineStr">
        <is>
          <t>Extra rows your model produced beyond these 6 (optional, for feedback):</t>
        </is>
      </c>
      <c r="J14" s="14" t="n"/>
    </row>
  </sheetData>
  <mergeCells count="3">
    <mergeCell ref="J2:P2"/>
    <mergeCell ref="B2:H2"/>
    <mergeCell ref="R2:X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pane xSplit="9" ySplit="3" topLeftCell="J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2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8" customWidth="1" min="25" max="25"/>
    <col width="14" customWidth="1" min="26" max="26"/>
    <col width="9" customWidth="1" min="27" max="27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</cols>
  <sheetData>
    <row r="1">
      <c r="A1" s="1" t="inlineStr">
        <is>
          <t>RUN 4</t>
        </is>
      </c>
      <c r="C1" s="3" t="inlineStr">
        <is>
          <t>Paste your model's values into the BLUE columns, one benchmark row at a time. The GREEN columns check them automatically.</t>
        </is>
      </c>
    </row>
    <row r="2">
      <c r="B2" s="4" t="inlineStr">
        <is>
          <t>BENCHMARK — do not edit</t>
        </is>
      </c>
      <c r="J2" s="5" t="inlineStr">
        <is>
          <t>YOUR MODEL — paste values here</t>
        </is>
      </c>
      <c r="R2" s="6" t="inlineStr">
        <is>
          <t>AUTO-CHECK (rough — you have the final say)</t>
        </is>
      </c>
      <c r="Y2" s="7" t="inlineStr">
        <is>
          <t>SCORE</t>
        </is>
      </c>
    </row>
    <row r="3" ht="30" customHeight="1">
      <c r="A3" s="8" t="inlineStr">
        <is>
          <t>Row</t>
        </is>
      </c>
      <c r="B3" s="9" t="inlineStr">
        <is>
          <t>Species</t>
        </is>
      </c>
      <c r="C3" s="9" t="inlineStr">
        <is>
          <t>Temp (°C)</t>
        </is>
      </c>
      <c r="D3" s="9" t="inlineStr">
        <is>
          <t>Troponin complex</t>
        </is>
      </c>
      <c r="E3" s="9" t="inlineStr">
        <is>
          <t>Bound Ca2+ measure</t>
        </is>
      </c>
      <c r="F3" s="9" t="inlineStr">
        <is>
          <t>Mg (mM)</t>
        </is>
      </c>
      <c r="G3" s="9" t="inlineStr">
        <is>
          <t>Kd (M^-1)</t>
        </is>
      </c>
      <c r="H3" s="9" t="inlineStr">
        <is>
          <t>K (µM)</t>
        </is>
      </c>
      <c r="J3" s="9" t="inlineStr">
        <is>
          <t>Species</t>
        </is>
      </c>
      <c r="K3" s="9" t="inlineStr">
        <is>
          <t>Temp (°C)</t>
        </is>
      </c>
      <c r="L3" s="9" t="inlineStr">
        <is>
          <t>Troponin complex</t>
        </is>
      </c>
      <c r="M3" s="9" t="inlineStr">
        <is>
          <t>Bound Ca2+ measure</t>
        </is>
      </c>
      <c r="N3" s="9" t="inlineStr">
        <is>
          <t>Mg (mM)</t>
        </is>
      </c>
      <c r="O3" s="9" t="inlineStr">
        <is>
          <t>Kd (M^-1)</t>
        </is>
      </c>
      <c r="P3" s="9" t="inlineStr">
        <is>
          <t>K (µM)</t>
        </is>
      </c>
      <c r="R3" s="9" t="inlineStr">
        <is>
          <t>Species</t>
        </is>
      </c>
      <c r="S3" s="9" t="inlineStr">
        <is>
          <t>Temp (°C)</t>
        </is>
      </c>
      <c r="T3" s="9" t="inlineStr">
        <is>
          <t>Troponin complex</t>
        </is>
      </c>
      <c r="U3" s="9" t="inlineStr">
        <is>
          <t>Bound Ca2+ measure</t>
        </is>
      </c>
      <c r="V3" s="9" t="inlineStr">
        <is>
          <t>Mg (mM)</t>
        </is>
      </c>
      <c r="W3" s="9" t="inlineStr">
        <is>
          <t>Kd (M^-1)</t>
        </is>
      </c>
      <c r="X3" s="9" t="inlineStr">
        <is>
          <t>K (µM)</t>
        </is>
      </c>
      <c r="Y3" s="8" t="inlineStr">
        <is>
          <t>Auto /7</t>
        </is>
      </c>
      <c r="Z3" s="8" t="inlineStr">
        <is>
          <t>Your /7 (edit only if you disagree)</t>
        </is>
      </c>
      <c r="AA3" s="8" t="inlineStr">
        <is>
          <t>Final /7</t>
        </is>
      </c>
      <c r="AC3" t="inlineStr">
        <is>
          <t>norm(GT):Species</t>
        </is>
      </c>
      <c r="AD3" t="inlineStr">
        <is>
          <t>norm(GT):Temp (°C)</t>
        </is>
      </c>
      <c r="AE3" t="inlineStr">
        <is>
          <t>norm(GT):Troponin complex</t>
        </is>
      </c>
      <c r="AF3" t="inlineStr">
        <is>
          <t>norm(GT):Bound Ca2+ measure</t>
        </is>
      </c>
      <c r="AG3" t="inlineStr">
        <is>
          <t>norm(GT):Mg (mM)</t>
        </is>
      </c>
      <c r="AH3" t="inlineStr">
        <is>
          <t>norm(GT):Kd (M^-1)</t>
        </is>
      </c>
      <c r="AI3" t="inlineStr">
        <is>
          <t>norm(GT):K (µM)</t>
        </is>
      </c>
      <c r="AK3" t="inlineStr">
        <is>
          <t>norm(you):Species</t>
        </is>
      </c>
      <c r="AL3" t="inlineStr">
        <is>
          <t>norm(you):Temp (°C)</t>
        </is>
      </c>
      <c r="AM3" t="inlineStr">
        <is>
          <t>norm(you):Troponin complex</t>
        </is>
      </c>
      <c r="AN3" t="inlineStr">
        <is>
          <t>norm(you):Bound Ca2+ measure</t>
        </is>
      </c>
      <c r="AO3" t="inlineStr">
        <is>
          <t>norm(you):Mg (mM)</t>
        </is>
      </c>
      <c r="AP3" t="inlineStr">
        <is>
          <t>norm(you):Kd (M^-1)</t>
        </is>
      </c>
      <c r="AQ3" t="inlineStr">
        <is>
          <t>norm(you):K (µM)</t>
        </is>
      </c>
    </row>
    <row r="4">
      <c r="A4" s="10" t="n">
        <v>1</v>
      </c>
      <c r="B4" s="11" t="inlineStr">
        <is>
          <t>Bovine</t>
        </is>
      </c>
      <c r="C4" s="11" t="n">
        <v>4</v>
      </c>
      <c r="D4" s="11" t="inlineStr">
        <is>
          <t>TnC</t>
        </is>
      </c>
      <c r="E4" s="11" t="inlineStr">
        <is>
          <t>SC</t>
        </is>
      </c>
      <c r="F4" s="11" t="inlineStr">
        <is>
          <t>None</t>
        </is>
      </c>
      <c r="G4" s="11" t="inlineStr">
        <is>
          <t>2.5 x 10^5</t>
        </is>
      </c>
      <c r="H4" s="11" t="n">
        <v>4</v>
      </c>
      <c r="J4" s="12" t="n"/>
      <c r="K4" s="12" t="n"/>
      <c r="L4" s="12" t="n"/>
      <c r="M4" s="12" t="n"/>
      <c r="N4" s="12" t="n"/>
      <c r="O4" s="12" t="n"/>
      <c r="P4" s="12" t="n"/>
      <c r="R4" s="13">
        <f>IF(J4="",0,IF(EXACT($AC4,$AK4),1,IF(IFERROR(VALUE($AC4)=VALUE($AK4),FALSE),1,0)))</f>
        <v/>
      </c>
      <c r="S4" s="13">
        <f>IF(K4="",0,IF(EXACT($AD4,$AL4),1,IF(IFERROR(VALUE($AD4)=VALUE($AL4),FALSE),1,0)))</f>
        <v/>
      </c>
      <c r="T4" s="13">
        <f>IF(L4="",0,IF(EXACT($AE4,$AM4),1,IF(IFERROR(VALUE($AE4)=VALUE($AM4),FALSE),1,0)))</f>
        <v/>
      </c>
      <c r="U4" s="13">
        <f>IF(M4="",0,IF(EXACT($AF4,$AN4),1,IF(IFERROR(VALUE($AF4)=VALUE($AN4),FALSE),1,0)))</f>
        <v/>
      </c>
      <c r="V4" s="13">
        <f>IF(N4="",0,IF(EXACT($AG4,$AO4),1,IF(IFERROR(VALUE($AG4)=VALUE($AO4),FALSE),1,0)))</f>
        <v/>
      </c>
      <c r="W4" s="13">
        <f>IF(O4="",0,IF(EXACT($AH4,$AP4),1,IF(IFERROR(VALUE($AH4)=VALUE($AP4),FALSE),1,0)))</f>
        <v/>
      </c>
      <c r="X4" s="13">
        <f>IF(P4="",0,IF(EXACT($AI4,$AQ4),1,IF(IFERROR(VALUE($AI4)=VALUE($AQ4),FALSE),1,0)))</f>
        <v/>
      </c>
      <c r="Y4" s="13">
        <f>SUM(R4:X4)</f>
        <v/>
      </c>
      <c r="Z4" s="14" t="n"/>
      <c r="AA4" s="13">
        <f>IF(Z4="",Y4,Z4)</f>
        <v/>
      </c>
      <c r="AC4">
        <f>TRIM(SUBSTITUTE(SUBSTITUTE(SUBSTITUTE(SUBSTITUTE(SUBSTITUTE(SUBSTITUTE(SUBSTITUTE(SUBSTITUTE(SUBSTITUTE(SUBSTITUTE(SUBSTITUTE(SUBSTITUTE(SUBSTITUTE(LOWER(SUBSTITUTE(SUBSTITUTE(SUBSTITUTE(SUBSTITUTE(SUBSTITUTE(B4,"×","x"),"·",""),"−","-"),"–","-"),"^","")),"μ","u"),"µ","u")," ",""),"k1=",""),"k2=",""),"k3=",""),"kd=",""),"ka=",""),"k=",""),"°c",""),"m-1",""),"um",""),"mm",""))</f>
        <v/>
      </c>
      <c r="AD4">
        <f>TRIM(SUBSTITUTE(SUBSTITUTE(SUBSTITUTE(SUBSTITUTE(SUBSTITUTE(SUBSTITUTE(SUBSTITUTE(SUBSTITUTE(SUBSTITUTE(SUBSTITUTE(SUBSTITUTE(SUBSTITUTE(SUBSTITUTE(LOWER(SUBSTITUTE(SUBSTITUTE(SUBSTITUTE(SUBSTITUTE(SUBSTITUTE(C4,"×","x"),"·",""),"−","-"),"–","-"),"^","")),"μ","u"),"µ","u")," ",""),"k1=",""),"k2=",""),"k3=",""),"kd=",""),"ka=",""),"k=",""),"°c",""),"m-1",""),"um",""),"mm",""))</f>
        <v/>
      </c>
      <c r="AE4">
        <f>TRIM(SUBSTITUTE(SUBSTITUTE(SUBSTITUTE(SUBSTITUTE(SUBSTITUTE(SUBSTITUTE(SUBSTITUTE(SUBSTITUTE(SUBSTITUTE(SUBSTITUTE(SUBSTITUTE(SUBSTITUTE(SUBSTITUTE(LOWER(SUBSTITUTE(SUBSTITUTE(SUBSTITUTE(SUBSTITUTE(SUBSTITUTE(D4,"×","x"),"·",""),"−","-"),"–","-"),"^","")),"μ","u"),"µ","u")," ",""),"k1=",""),"k2=",""),"k3=",""),"kd=",""),"ka=",""),"k=",""),"°c",""),"m-1",""),"um",""),"mm",""))</f>
        <v/>
      </c>
      <c r="AF4">
        <f>TRIM(SUBSTITUTE(SUBSTITUTE(SUBSTITUTE(SUBSTITUTE(SUBSTITUTE(SUBSTITUTE(SUBSTITUTE(SUBSTITUTE(SUBSTITUTE(SUBSTITUTE(SUBSTITUTE(SUBSTITUTE(SUBSTITUTE(LOWER(SUBSTITUTE(SUBSTITUTE(SUBSTITUTE(SUBSTITUTE(SUBSTITUTE(E4,"×","x"),"·",""),"−","-"),"–","-"),"^","")),"μ","u"),"µ","u")," ",""),"k1=",""),"k2=",""),"k3=",""),"kd=",""),"ka=",""),"k=",""),"°c",""),"m-1",""),"um",""),"mm",""))</f>
        <v/>
      </c>
      <c r="AG4">
        <f>TRIM(SUBSTITUTE(SUBSTITUTE(SUBSTITUTE(SUBSTITUTE(SUBSTITUTE(SUBSTITUTE(SUBSTITUTE(SUBSTITUTE(SUBSTITUTE(SUBSTITUTE(SUBSTITUTE(SUBSTITUTE(SUBSTITUTE(LOWER(SUBSTITUTE(SUBSTITUTE(SUBSTITUTE(SUBSTITUTE(SUBSTITUTE(F4,"×","x"),"·",""),"−","-"),"–","-"),"^","")),"μ","u"),"µ","u")," ",""),"k1=",""),"k2=",""),"k3=",""),"kd=",""),"ka=",""),"k=",""),"°c",""),"m-1",""),"um",""),"mm",""))</f>
        <v/>
      </c>
      <c r="AH4">
        <f>TRIM(SUBSTITUTE(SUBSTITUTE(SUBSTITUTE(SUBSTITUTE(SUBSTITUTE(SUBSTITUTE(SUBSTITUTE(SUBSTITUTE(SUBSTITUTE(SUBSTITUTE(SUBSTITUTE(SUBSTITUTE(SUBSTITUTE(LOWER(SUBSTITUTE(SUBSTITUTE(SUBSTITUTE(SUBSTITUTE(SUBSTITUTE(G4,"×","x"),"·",""),"−","-"),"–","-"),"^","")),"μ","u"),"µ","u")," ",""),"k1=",""),"k2=",""),"k3=",""),"kd=",""),"ka=",""),"k=",""),"°c",""),"m-1",""),"um",""),"mm",""))</f>
        <v/>
      </c>
      <c r="AI4">
        <f>TRIM(SUBSTITUTE(SUBSTITUTE(SUBSTITUTE(SUBSTITUTE(SUBSTITUTE(SUBSTITUTE(SUBSTITUTE(SUBSTITUTE(SUBSTITUTE(SUBSTITUTE(SUBSTITUTE(SUBSTITUTE(SUBSTITUTE(LOWER(SUBSTITUTE(SUBSTITUTE(SUBSTITUTE(SUBSTITUTE(SUBSTITUTE(H4,"×","x"),"·",""),"−","-"),"–","-"),"^","")),"μ","u"),"µ","u")," ",""),"k1=",""),"k2=",""),"k3=",""),"kd=",""),"ka=",""),"k=",""),"°c",""),"m-1",""),"um",""),"mm",""))</f>
        <v/>
      </c>
      <c r="AK4">
        <f>TRIM(SUBSTITUTE(SUBSTITUTE(SUBSTITUTE(SUBSTITUTE(SUBSTITUTE(SUBSTITUTE(SUBSTITUTE(SUBSTITUTE(SUBSTITUTE(SUBSTITUTE(SUBSTITUTE(SUBSTITUTE(SUBSTITUTE(LOWER(SUBSTITUTE(SUBSTITUTE(SUBSTITUTE(SUBSTITUTE(SUBSTITUTE(J4,"×","x"),"·",""),"−","-"),"–","-"),"^","")),"μ","u"),"µ","u")," ",""),"k1=",""),"k2=",""),"k3=",""),"kd=",""),"ka=",""),"k=",""),"°c",""),"m-1",""),"um",""),"mm",""))</f>
        <v/>
      </c>
      <c r="AL4">
        <f>TRIM(SUBSTITUTE(SUBSTITUTE(SUBSTITUTE(SUBSTITUTE(SUBSTITUTE(SUBSTITUTE(SUBSTITUTE(SUBSTITUTE(SUBSTITUTE(SUBSTITUTE(SUBSTITUTE(SUBSTITUTE(SUBSTITUTE(LOWER(SUBSTITUTE(SUBSTITUTE(SUBSTITUTE(SUBSTITUTE(SUBSTITUTE(K4,"×","x"),"·",""),"−","-"),"–","-"),"^","")),"μ","u"),"µ","u")," ",""),"k1=",""),"k2=",""),"k3=",""),"kd=",""),"ka=",""),"k=",""),"°c",""),"m-1",""),"um",""),"mm",""))</f>
        <v/>
      </c>
      <c r="AM4">
        <f>TRIM(SUBSTITUTE(SUBSTITUTE(SUBSTITUTE(SUBSTITUTE(SUBSTITUTE(SUBSTITUTE(SUBSTITUTE(SUBSTITUTE(SUBSTITUTE(SUBSTITUTE(SUBSTITUTE(SUBSTITUTE(SUBSTITUTE(LOWER(SUBSTITUTE(SUBSTITUTE(SUBSTITUTE(SUBSTITUTE(SUBSTITUTE(L4,"×","x"),"·",""),"−","-"),"–","-"),"^","")),"μ","u"),"µ","u")," ",""),"k1=",""),"k2=",""),"k3=",""),"kd=",""),"ka=",""),"k=",""),"°c",""),"m-1",""),"um",""),"mm",""))</f>
        <v/>
      </c>
      <c r="AN4">
        <f>TRIM(SUBSTITUTE(SUBSTITUTE(SUBSTITUTE(SUBSTITUTE(SUBSTITUTE(SUBSTITUTE(SUBSTITUTE(SUBSTITUTE(SUBSTITUTE(SUBSTITUTE(SUBSTITUTE(SUBSTITUTE(SUBSTITUTE(LOWER(SUBSTITUTE(SUBSTITUTE(SUBSTITUTE(SUBSTITUTE(SUBSTITUTE(M4,"×","x"),"·",""),"−","-"),"–","-"),"^","")),"μ","u"),"µ","u")," ",""),"k1=",""),"k2=",""),"k3=",""),"kd=",""),"ka=",""),"k=",""),"°c",""),"m-1",""),"um",""),"mm",""))</f>
        <v/>
      </c>
      <c r="AO4">
        <f>TRIM(SUBSTITUTE(SUBSTITUTE(SUBSTITUTE(SUBSTITUTE(SUBSTITUTE(SUBSTITUTE(SUBSTITUTE(SUBSTITUTE(SUBSTITUTE(SUBSTITUTE(SUBSTITUTE(SUBSTITUTE(SUBSTITUTE(LOWER(SUBSTITUTE(SUBSTITUTE(SUBSTITUTE(SUBSTITUTE(SUBSTITUTE(N4,"×","x"),"·",""),"−","-"),"–","-"),"^","")),"μ","u"),"µ","u")," ",""),"k1=",""),"k2=",""),"k3=",""),"kd=",""),"ka=",""),"k=",""),"°c",""),"m-1",""),"um",""),"mm",""))</f>
        <v/>
      </c>
      <c r="AP4">
        <f>TRIM(SUBSTITUTE(SUBSTITUTE(SUBSTITUTE(SUBSTITUTE(SUBSTITUTE(SUBSTITUTE(SUBSTITUTE(SUBSTITUTE(SUBSTITUTE(SUBSTITUTE(SUBSTITUTE(SUBSTITUTE(SUBSTITUTE(LOWER(SUBSTITUTE(SUBSTITUTE(SUBSTITUTE(SUBSTITUTE(SUBSTITUTE(O4,"×","x"),"·",""),"−","-"),"–","-"),"^","")),"μ","u"),"µ","u")," ",""),"k1=",""),"k2=",""),"k3=",""),"kd=",""),"ka=",""),"k=",""),"°c",""),"m-1",""),"um",""),"mm",""))</f>
        <v/>
      </c>
      <c r="AQ4">
        <f>TRIM(SUBSTITUTE(SUBSTITUTE(SUBSTITUTE(SUBSTITUTE(SUBSTITUTE(SUBSTITUTE(SUBSTITUTE(SUBSTITUTE(SUBSTITUTE(SUBSTITUTE(SUBSTITUTE(SUBSTITUTE(SUBSTITUTE(LOWER(SUBSTITUTE(SUBSTITUTE(SUBSTITUTE(SUBSTITUTE(SUBSTITUTE(P4,"×","x"),"·",""),"−","-"),"–","-"),"^","")),"μ","u"),"µ","u")," ",""),"k1=",""),"k2=",""),"k3=",""),"kd=",""),"ka=",""),"k=",""),"°c",""),"m-1",""),"um",""),"mm",""))</f>
        <v/>
      </c>
    </row>
    <row r="5">
      <c r="A5" s="10" t="n">
        <v>2</v>
      </c>
      <c r="B5" s="11" t="inlineStr">
        <is>
          <t>Bovine</t>
        </is>
      </c>
      <c r="C5" s="11" t="n">
        <v>4</v>
      </c>
      <c r="D5" s="11" t="inlineStr">
        <is>
          <t>TnC</t>
        </is>
      </c>
      <c r="E5" s="11" t="inlineStr">
        <is>
          <t>SC</t>
        </is>
      </c>
      <c r="F5" s="11" t="n">
        <v>4</v>
      </c>
      <c r="G5" s="11" t="inlineStr">
        <is>
          <t>2.5 x 10^5</t>
        </is>
      </c>
      <c r="H5" s="11" t="n">
        <v>4</v>
      </c>
      <c r="J5" s="12" t="n"/>
      <c r="K5" s="12" t="n"/>
      <c r="L5" s="12" t="n"/>
      <c r="M5" s="12" t="n"/>
      <c r="N5" s="12" t="n"/>
      <c r="O5" s="12" t="n"/>
      <c r="P5" s="12" t="n"/>
      <c r="R5" s="13">
        <f>IF(J5="",0,IF(EXACT($AC5,$AK5),1,IF(IFERROR(VALUE($AC5)=VALUE($AK5),FALSE),1,0)))</f>
        <v/>
      </c>
      <c r="S5" s="13">
        <f>IF(K5="",0,IF(EXACT($AD5,$AL5),1,IF(IFERROR(VALUE($AD5)=VALUE($AL5),FALSE),1,0)))</f>
        <v/>
      </c>
      <c r="T5" s="13">
        <f>IF(L5="",0,IF(EXACT($AE5,$AM5),1,IF(IFERROR(VALUE($AE5)=VALUE($AM5),FALSE),1,0)))</f>
        <v/>
      </c>
      <c r="U5" s="13">
        <f>IF(M5="",0,IF(EXACT($AF5,$AN5),1,IF(IFERROR(VALUE($AF5)=VALUE($AN5),FALSE),1,0)))</f>
        <v/>
      </c>
      <c r="V5" s="13">
        <f>IF(N5="",0,IF(EXACT($AG5,$AO5),1,IF(IFERROR(VALUE($AG5)=VALUE($AO5),FALSE),1,0)))</f>
        <v/>
      </c>
      <c r="W5" s="13">
        <f>IF(O5="",0,IF(EXACT($AH5,$AP5),1,IF(IFERROR(VALUE($AH5)=VALUE($AP5),FALSE),1,0)))</f>
        <v/>
      </c>
      <c r="X5" s="13">
        <f>IF(P5="",0,IF(EXACT($AI5,$AQ5),1,IF(IFERROR(VALUE($AI5)=VALUE($AQ5),FALSE),1,0)))</f>
        <v/>
      </c>
      <c r="Y5" s="13">
        <f>SUM(R5:X5)</f>
        <v/>
      </c>
      <c r="Z5" s="14" t="n"/>
      <c r="AA5" s="13">
        <f>IF(Z5="",Y5,Z5)</f>
        <v/>
      </c>
      <c r="AC5">
        <f>TRIM(SUBSTITUTE(SUBSTITUTE(SUBSTITUTE(SUBSTITUTE(SUBSTITUTE(SUBSTITUTE(SUBSTITUTE(SUBSTITUTE(SUBSTITUTE(SUBSTITUTE(SUBSTITUTE(SUBSTITUTE(SUBSTITUTE(LOWER(SUBSTITUTE(SUBSTITUTE(SUBSTITUTE(SUBSTITUTE(SUBSTITUTE(B5,"×","x"),"·",""),"−","-"),"–","-"),"^","")),"μ","u"),"µ","u")," ",""),"k1=",""),"k2=",""),"k3=",""),"kd=",""),"ka=",""),"k=",""),"°c",""),"m-1",""),"um",""),"mm",""))</f>
        <v/>
      </c>
      <c r="AD5">
        <f>TRIM(SUBSTITUTE(SUBSTITUTE(SUBSTITUTE(SUBSTITUTE(SUBSTITUTE(SUBSTITUTE(SUBSTITUTE(SUBSTITUTE(SUBSTITUTE(SUBSTITUTE(SUBSTITUTE(SUBSTITUTE(SUBSTITUTE(LOWER(SUBSTITUTE(SUBSTITUTE(SUBSTITUTE(SUBSTITUTE(SUBSTITUTE(C5,"×","x"),"·",""),"−","-"),"–","-"),"^","")),"μ","u"),"µ","u")," ",""),"k1=",""),"k2=",""),"k3=",""),"kd=",""),"ka=",""),"k=",""),"°c",""),"m-1",""),"um",""),"mm",""))</f>
        <v/>
      </c>
      <c r="AE5">
        <f>TRIM(SUBSTITUTE(SUBSTITUTE(SUBSTITUTE(SUBSTITUTE(SUBSTITUTE(SUBSTITUTE(SUBSTITUTE(SUBSTITUTE(SUBSTITUTE(SUBSTITUTE(SUBSTITUTE(SUBSTITUTE(SUBSTITUTE(LOWER(SUBSTITUTE(SUBSTITUTE(SUBSTITUTE(SUBSTITUTE(SUBSTITUTE(D5,"×","x"),"·",""),"−","-"),"–","-"),"^","")),"μ","u"),"µ","u")," ",""),"k1=",""),"k2=",""),"k3=",""),"kd=",""),"ka=",""),"k=",""),"°c",""),"m-1",""),"um",""),"mm",""))</f>
        <v/>
      </c>
      <c r="AF5">
        <f>TRIM(SUBSTITUTE(SUBSTITUTE(SUBSTITUTE(SUBSTITUTE(SUBSTITUTE(SUBSTITUTE(SUBSTITUTE(SUBSTITUTE(SUBSTITUTE(SUBSTITUTE(SUBSTITUTE(SUBSTITUTE(SUBSTITUTE(LOWER(SUBSTITUTE(SUBSTITUTE(SUBSTITUTE(SUBSTITUTE(SUBSTITUTE(E5,"×","x"),"·",""),"−","-"),"–","-"),"^","")),"μ","u"),"µ","u")," ",""),"k1=",""),"k2=",""),"k3=",""),"kd=",""),"ka=",""),"k=",""),"°c",""),"m-1",""),"um",""),"mm",""))</f>
        <v/>
      </c>
      <c r="AG5">
        <f>TRIM(SUBSTITUTE(SUBSTITUTE(SUBSTITUTE(SUBSTITUTE(SUBSTITUTE(SUBSTITUTE(SUBSTITUTE(SUBSTITUTE(SUBSTITUTE(SUBSTITUTE(SUBSTITUTE(SUBSTITUTE(SUBSTITUTE(LOWER(SUBSTITUTE(SUBSTITUTE(SUBSTITUTE(SUBSTITUTE(SUBSTITUTE(F5,"×","x"),"·",""),"−","-"),"–","-"),"^","")),"μ","u"),"µ","u")," ",""),"k1=",""),"k2=",""),"k3=",""),"kd=",""),"ka=",""),"k=",""),"°c",""),"m-1",""),"um",""),"mm",""))</f>
        <v/>
      </c>
      <c r="AH5">
        <f>TRIM(SUBSTITUTE(SUBSTITUTE(SUBSTITUTE(SUBSTITUTE(SUBSTITUTE(SUBSTITUTE(SUBSTITUTE(SUBSTITUTE(SUBSTITUTE(SUBSTITUTE(SUBSTITUTE(SUBSTITUTE(SUBSTITUTE(LOWER(SUBSTITUTE(SUBSTITUTE(SUBSTITUTE(SUBSTITUTE(SUBSTITUTE(G5,"×","x"),"·",""),"−","-"),"–","-"),"^","")),"μ","u"),"µ","u")," ",""),"k1=",""),"k2=",""),"k3=",""),"kd=",""),"ka=",""),"k=",""),"°c",""),"m-1",""),"um",""),"mm",""))</f>
        <v/>
      </c>
      <c r="AI5">
        <f>TRIM(SUBSTITUTE(SUBSTITUTE(SUBSTITUTE(SUBSTITUTE(SUBSTITUTE(SUBSTITUTE(SUBSTITUTE(SUBSTITUTE(SUBSTITUTE(SUBSTITUTE(SUBSTITUTE(SUBSTITUTE(SUBSTITUTE(LOWER(SUBSTITUTE(SUBSTITUTE(SUBSTITUTE(SUBSTITUTE(SUBSTITUTE(H5,"×","x"),"·",""),"−","-"),"–","-"),"^","")),"μ","u"),"µ","u")," ",""),"k1=",""),"k2=",""),"k3=",""),"kd=",""),"ka=",""),"k=",""),"°c",""),"m-1",""),"um",""),"mm",""))</f>
        <v/>
      </c>
      <c r="AK5">
        <f>TRIM(SUBSTITUTE(SUBSTITUTE(SUBSTITUTE(SUBSTITUTE(SUBSTITUTE(SUBSTITUTE(SUBSTITUTE(SUBSTITUTE(SUBSTITUTE(SUBSTITUTE(SUBSTITUTE(SUBSTITUTE(SUBSTITUTE(LOWER(SUBSTITUTE(SUBSTITUTE(SUBSTITUTE(SUBSTITUTE(SUBSTITUTE(J5,"×","x"),"·",""),"−","-"),"–","-"),"^","")),"μ","u"),"µ","u")," ",""),"k1=",""),"k2=",""),"k3=",""),"kd=",""),"ka=",""),"k=",""),"°c",""),"m-1",""),"um",""),"mm",""))</f>
        <v/>
      </c>
      <c r="AL5">
        <f>TRIM(SUBSTITUTE(SUBSTITUTE(SUBSTITUTE(SUBSTITUTE(SUBSTITUTE(SUBSTITUTE(SUBSTITUTE(SUBSTITUTE(SUBSTITUTE(SUBSTITUTE(SUBSTITUTE(SUBSTITUTE(SUBSTITUTE(LOWER(SUBSTITUTE(SUBSTITUTE(SUBSTITUTE(SUBSTITUTE(SUBSTITUTE(K5,"×","x"),"·",""),"−","-"),"–","-"),"^","")),"μ","u"),"µ","u")," ",""),"k1=",""),"k2=",""),"k3=",""),"kd=",""),"ka=",""),"k=",""),"°c",""),"m-1",""),"um",""),"mm",""))</f>
        <v/>
      </c>
      <c r="AM5">
        <f>TRIM(SUBSTITUTE(SUBSTITUTE(SUBSTITUTE(SUBSTITUTE(SUBSTITUTE(SUBSTITUTE(SUBSTITUTE(SUBSTITUTE(SUBSTITUTE(SUBSTITUTE(SUBSTITUTE(SUBSTITUTE(SUBSTITUTE(LOWER(SUBSTITUTE(SUBSTITUTE(SUBSTITUTE(SUBSTITUTE(SUBSTITUTE(L5,"×","x"),"·",""),"−","-"),"–","-"),"^","")),"μ","u"),"µ","u")," ",""),"k1=",""),"k2=",""),"k3=",""),"kd=",""),"ka=",""),"k=",""),"°c",""),"m-1",""),"um",""),"mm",""))</f>
        <v/>
      </c>
      <c r="AN5">
        <f>TRIM(SUBSTITUTE(SUBSTITUTE(SUBSTITUTE(SUBSTITUTE(SUBSTITUTE(SUBSTITUTE(SUBSTITUTE(SUBSTITUTE(SUBSTITUTE(SUBSTITUTE(SUBSTITUTE(SUBSTITUTE(SUBSTITUTE(LOWER(SUBSTITUTE(SUBSTITUTE(SUBSTITUTE(SUBSTITUTE(SUBSTITUTE(M5,"×","x"),"·",""),"−","-"),"–","-"),"^","")),"μ","u"),"µ","u")," ",""),"k1=",""),"k2=",""),"k3=",""),"kd=",""),"ka=",""),"k=",""),"°c",""),"m-1",""),"um",""),"mm",""))</f>
        <v/>
      </c>
      <c r="AO5">
        <f>TRIM(SUBSTITUTE(SUBSTITUTE(SUBSTITUTE(SUBSTITUTE(SUBSTITUTE(SUBSTITUTE(SUBSTITUTE(SUBSTITUTE(SUBSTITUTE(SUBSTITUTE(SUBSTITUTE(SUBSTITUTE(SUBSTITUTE(LOWER(SUBSTITUTE(SUBSTITUTE(SUBSTITUTE(SUBSTITUTE(SUBSTITUTE(N5,"×","x"),"·",""),"−","-"),"–","-"),"^","")),"μ","u"),"µ","u")," ",""),"k1=",""),"k2=",""),"k3=",""),"kd=",""),"ka=",""),"k=",""),"°c",""),"m-1",""),"um",""),"mm",""))</f>
        <v/>
      </c>
      <c r="AP5">
        <f>TRIM(SUBSTITUTE(SUBSTITUTE(SUBSTITUTE(SUBSTITUTE(SUBSTITUTE(SUBSTITUTE(SUBSTITUTE(SUBSTITUTE(SUBSTITUTE(SUBSTITUTE(SUBSTITUTE(SUBSTITUTE(SUBSTITUTE(LOWER(SUBSTITUTE(SUBSTITUTE(SUBSTITUTE(SUBSTITUTE(SUBSTITUTE(O5,"×","x"),"·",""),"−","-"),"–","-"),"^","")),"μ","u"),"µ","u")," ",""),"k1=",""),"k2=",""),"k3=",""),"kd=",""),"ka=",""),"k=",""),"°c",""),"m-1",""),"um",""),"mm",""))</f>
        <v/>
      </c>
      <c r="AQ5">
        <f>TRIM(SUBSTITUTE(SUBSTITUTE(SUBSTITUTE(SUBSTITUTE(SUBSTITUTE(SUBSTITUTE(SUBSTITUTE(SUBSTITUTE(SUBSTITUTE(SUBSTITUTE(SUBSTITUTE(SUBSTITUTE(SUBSTITUTE(LOWER(SUBSTITUTE(SUBSTITUTE(SUBSTITUTE(SUBSTITUTE(SUBSTITUTE(P5,"×","x"),"·",""),"−","-"),"–","-"),"^","")),"μ","u"),"µ","u")," ",""),"k1=",""),"k2=",""),"k3=",""),"kd=",""),"ka=",""),"k=",""),"°c",""),"m-1",""),"um",""),"mm",""))</f>
        <v/>
      </c>
    </row>
    <row r="6">
      <c r="A6" s="10" t="n">
        <v>3</v>
      </c>
      <c r="B6" s="11" t="inlineStr">
        <is>
          <t>Bovine</t>
        </is>
      </c>
      <c r="C6" s="11" t="n">
        <v>4</v>
      </c>
      <c r="D6" s="11" t="inlineStr">
        <is>
          <t>TnC-TnI</t>
        </is>
      </c>
      <c r="E6" s="11" t="inlineStr">
        <is>
          <t>SC</t>
        </is>
      </c>
      <c r="F6" s="11" t="n">
        <v>4</v>
      </c>
      <c r="G6" s="11" t="inlineStr">
        <is>
          <t>1 x 10^6</t>
        </is>
      </c>
      <c r="H6" s="11" t="n">
        <v>1</v>
      </c>
      <c r="J6" s="12" t="n"/>
      <c r="K6" s="12" t="n"/>
      <c r="L6" s="12" t="n"/>
      <c r="M6" s="12" t="n"/>
      <c r="N6" s="12" t="n"/>
      <c r="O6" s="12" t="n"/>
      <c r="P6" s="12" t="n"/>
      <c r="R6" s="13">
        <f>IF(J6="",0,IF(EXACT($AC6,$AK6),1,IF(IFERROR(VALUE($AC6)=VALUE($AK6),FALSE),1,0)))</f>
        <v/>
      </c>
      <c r="S6" s="13">
        <f>IF(K6="",0,IF(EXACT($AD6,$AL6),1,IF(IFERROR(VALUE($AD6)=VALUE($AL6),FALSE),1,0)))</f>
        <v/>
      </c>
      <c r="T6" s="13">
        <f>IF(L6="",0,IF(EXACT($AE6,$AM6),1,IF(IFERROR(VALUE($AE6)=VALUE($AM6),FALSE),1,0)))</f>
        <v/>
      </c>
      <c r="U6" s="13">
        <f>IF(M6="",0,IF(EXACT($AF6,$AN6),1,IF(IFERROR(VALUE($AF6)=VALUE($AN6),FALSE),1,0)))</f>
        <v/>
      </c>
      <c r="V6" s="13">
        <f>IF(N6="",0,IF(EXACT($AG6,$AO6),1,IF(IFERROR(VALUE($AG6)=VALUE($AO6),FALSE),1,0)))</f>
        <v/>
      </c>
      <c r="W6" s="13">
        <f>IF(O6="",0,IF(EXACT($AH6,$AP6),1,IF(IFERROR(VALUE($AH6)=VALUE($AP6),FALSE),1,0)))</f>
        <v/>
      </c>
      <c r="X6" s="13">
        <f>IF(P6="",0,IF(EXACT($AI6,$AQ6),1,IF(IFERROR(VALUE($AI6)=VALUE($AQ6),FALSE),1,0)))</f>
        <v/>
      </c>
      <c r="Y6" s="13">
        <f>SUM(R6:X6)</f>
        <v/>
      </c>
      <c r="Z6" s="14" t="n"/>
      <c r="AA6" s="13">
        <f>IF(Z6="",Y6,Z6)</f>
        <v/>
      </c>
      <c r="AC6">
        <f>TRIM(SUBSTITUTE(SUBSTITUTE(SUBSTITUTE(SUBSTITUTE(SUBSTITUTE(SUBSTITUTE(SUBSTITUTE(SUBSTITUTE(SUBSTITUTE(SUBSTITUTE(SUBSTITUTE(SUBSTITUTE(SUBSTITUTE(LOWER(SUBSTITUTE(SUBSTITUTE(SUBSTITUTE(SUBSTITUTE(SUBSTITUTE(B6,"×","x"),"·",""),"−","-"),"–","-"),"^","")),"μ","u"),"µ","u")," ",""),"k1=",""),"k2=",""),"k3=",""),"kd=",""),"ka=",""),"k=",""),"°c",""),"m-1",""),"um",""),"mm",""))</f>
        <v/>
      </c>
      <c r="AD6">
        <f>TRIM(SUBSTITUTE(SUBSTITUTE(SUBSTITUTE(SUBSTITUTE(SUBSTITUTE(SUBSTITUTE(SUBSTITUTE(SUBSTITUTE(SUBSTITUTE(SUBSTITUTE(SUBSTITUTE(SUBSTITUTE(SUBSTITUTE(LOWER(SUBSTITUTE(SUBSTITUTE(SUBSTITUTE(SUBSTITUTE(SUBSTITUTE(C6,"×","x"),"·",""),"−","-"),"–","-"),"^","")),"μ","u"),"µ","u")," ",""),"k1=",""),"k2=",""),"k3=",""),"kd=",""),"ka=",""),"k=",""),"°c",""),"m-1",""),"um",""),"mm",""))</f>
        <v/>
      </c>
      <c r="AE6">
        <f>TRIM(SUBSTITUTE(SUBSTITUTE(SUBSTITUTE(SUBSTITUTE(SUBSTITUTE(SUBSTITUTE(SUBSTITUTE(SUBSTITUTE(SUBSTITUTE(SUBSTITUTE(SUBSTITUTE(SUBSTITUTE(SUBSTITUTE(LOWER(SUBSTITUTE(SUBSTITUTE(SUBSTITUTE(SUBSTITUTE(SUBSTITUTE(D6,"×","x"),"·",""),"−","-"),"–","-"),"^","")),"μ","u"),"µ","u")," ",""),"k1=",""),"k2=",""),"k3=",""),"kd=",""),"ka=",""),"k=",""),"°c",""),"m-1",""),"um",""),"mm",""))</f>
        <v/>
      </c>
      <c r="AF6">
        <f>TRIM(SUBSTITUTE(SUBSTITUTE(SUBSTITUTE(SUBSTITUTE(SUBSTITUTE(SUBSTITUTE(SUBSTITUTE(SUBSTITUTE(SUBSTITUTE(SUBSTITUTE(SUBSTITUTE(SUBSTITUTE(SUBSTITUTE(LOWER(SUBSTITUTE(SUBSTITUTE(SUBSTITUTE(SUBSTITUTE(SUBSTITUTE(E6,"×","x"),"·",""),"−","-"),"–","-"),"^","")),"μ","u"),"µ","u")," ",""),"k1=",""),"k2=",""),"k3=",""),"kd=",""),"ka=",""),"k=",""),"°c",""),"m-1",""),"um",""),"mm",""))</f>
        <v/>
      </c>
      <c r="AG6">
        <f>TRIM(SUBSTITUTE(SUBSTITUTE(SUBSTITUTE(SUBSTITUTE(SUBSTITUTE(SUBSTITUTE(SUBSTITUTE(SUBSTITUTE(SUBSTITUTE(SUBSTITUTE(SUBSTITUTE(SUBSTITUTE(SUBSTITUTE(LOWER(SUBSTITUTE(SUBSTITUTE(SUBSTITUTE(SUBSTITUTE(SUBSTITUTE(F6,"×","x"),"·",""),"−","-"),"–","-"),"^","")),"μ","u"),"µ","u")," ",""),"k1=",""),"k2=",""),"k3=",""),"kd=",""),"ka=",""),"k=",""),"°c",""),"m-1",""),"um",""),"mm",""))</f>
        <v/>
      </c>
      <c r="AH6">
        <f>TRIM(SUBSTITUTE(SUBSTITUTE(SUBSTITUTE(SUBSTITUTE(SUBSTITUTE(SUBSTITUTE(SUBSTITUTE(SUBSTITUTE(SUBSTITUTE(SUBSTITUTE(SUBSTITUTE(SUBSTITUTE(SUBSTITUTE(LOWER(SUBSTITUTE(SUBSTITUTE(SUBSTITUTE(SUBSTITUTE(SUBSTITUTE(G6,"×","x"),"·",""),"−","-"),"–","-"),"^","")),"μ","u"),"µ","u")," ",""),"k1=",""),"k2=",""),"k3=",""),"kd=",""),"ka=",""),"k=",""),"°c",""),"m-1",""),"um",""),"mm",""))</f>
        <v/>
      </c>
      <c r="AI6">
        <f>TRIM(SUBSTITUTE(SUBSTITUTE(SUBSTITUTE(SUBSTITUTE(SUBSTITUTE(SUBSTITUTE(SUBSTITUTE(SUBSTITUTE(SUBSTITUTE(SUBSTITUTE(SUBSTITUTE(SUBSTITUTE(SUBSTITUTE(LOWER(SUBSTITUTE(SUBSTITUTE(SUBSTITUTE(SUBSTITUTE(SUBSTITUTE(H6,"×","x"),"·",""),"−","-"),"–","-"),"^","")),"μ","u"),"µ","u")," ",""),"k1=",""),"k2=",""),"k3=",""),"kd=",""),"ka=",""),"k=",""),"°c",""),"m-1",""),"um",""),"mm",""))</f>
        <v/>
      </c>
      <c r="AK6">
        <f>TRIM(SUBSTITUTE(SUBSTITUTE(SUBSTITUTE(SUBSTITUTE(SUBSTITUTE(SUBSTITUTE(SUBSTITUTE(SUBSTITUTE(SUBSTITUTE(SUBSTITUTE(SUBSTITUTE(SUBSTITUTE(SUBSTITUTE(LOWER(SUBSTITUTE(SUBSTITUTE(SUBSTITUTE(SUBSTITUTE(SUBSTITUTE(J6,"×","x"),"·",""),"−","-"),"–","-"),"^","")),"μ","u"),"µ","u")," ",""),"k1=",""),"k2=",""),"k3=",""),"kd=",""),"ka=",""),"k=",""),"°c",""),"m-1",""),"um",""),"mm",""))</f>
        <v/>
      </c>
      <c r="AL6">
        <f>TRIM(SUBSTITUTE(SUBSTITUTE(SUBSTITUTE(SUBSTITUTE(SUBSTITUTE(SUBSTITUTE(SUBSTITUTE(SUBSTITUTE(SUBSTITUTE(SUBSTITUTE(SUBSTITUTE(SUBSTITUTE(SUBSTITUTE(LOWER(SUBSTITUTE(SUBSTITUTE(SUBSTITUTE(SUBSTITUTE(SUBSTITUTE(K6,"×","x"),"·",""),"−","-"),"–","-"),"^","")),"μ","u"),"µ","u")," ",""),"k1=",""),"k2=",""),"k3=",""),"kd=",""),"ka=",""),"k=",""),"°c",""),"m-1",""),"um",""),"mm",""))</f>
        <v/>
      </c>
      <c r="AM6">
        <f>TRIM(SUBSTITUTE(SUBSTITUTE(SUBSTITUTE(SUBSTITUTE(SUBSTITUTE(SUBSTITUTE(SUBSTITUTE(SUBSTITUTE(SUBSTITUTE(SUBSTITUTE(SUBSTITUTE(SUBSTITUTE(SUBSTITUTE(LOWER(SUBSTITUTE(SUBSTITUTE(SUBSTITUTE(SUBSTITUTE(SUBSTITUTE(L6,"×","x"),"·",""),"−","-"),"–","-"),"^","")),"μ","u"),"µ","u")," ",""),"k1=",""),"k2=",""),"k3=",""),"kd=",""),"ka=",""),"k=",""),"°c",""),"m-1",""),"um",""),"mm",""))</f>
        <v/>
      </c>
      <c r="AN6">
        <f>TRIM(SUBSTITUTE(SUBSTITUTE(SUBSTITUTE(SUBSTITUTE(SUBSTITUTE(SUBSTITUTE(SUBSTITUTE(SUBSTITUTE(SUBSTITUTE(SUBSTITUTE(SUBSTITUTE(SUBSTITUTE(SUBSTITUTE(LOWER(SUBSTITUTE(SUBSTITUTE(SUBSTITUTE(SUBSTITUTE(SUBSTITUTE(M6,"×","x"),"·",""),"−","-"),"–","-"),"^","")),"μ","u"),"µ","u")," ",""),"k1=",""),"k2=",""),"k3=",""),"kd=",""),"ka=",""),"k=",""),"°c",""),"m-1",""),"um",""),"mm",""))</f>
        <v/>
      </c>
      <c r="AO6">
        <f>TRIM(SUBSTITUTE(SUBSTITUTE(SUBSTITUTE(SUBSTITUTE(SUBSTITUTE(SUBSTITUTE(SUBSTITUTE(SUBSTITUTE(SUBSTITUTE(SUBSTITUTE(SUBSTITUTE(SUBSTITUTE(SUBSTITUTE(LOWER(SUBSTITUTE(SUBSTITUTE(SUBSTITUTE(SUBSTITUTE(SUBSTITUTE(N6,"×","x"),"·",""),"−","-"),"–","-"),"^","")),"μ","u"),"µ","u")," ",""),"k1=",""),"k2=",""),"k3=",""),"kd=",""),"ka=",""),"k=",""),"°c",""),"m-1",""),"um",""),"mm",""))</f>
        <v/>
      </c>
      <c r="AP6">
        <f>TRIM(SUBSTITUTE(SUBSTITUTE(SUBSTITUTE(SUBSTITUTE(SUBSTITUTE(SUBSTITUTE(SUBSTITUTE(SUBSTITUTE(SUBSTITUTE(SUBSTITUTE(SUBSTITUTE(SUBSTITUTE(SUBSTITUTE(LOWER(SUBSTITUTE(SUBSTITUTE(SUBSTITUTE(SUBSTITUTE(SUBSTITUTE(O6,"×","x"),"·",""),"−","-"),"–","-"),"^","")),"μ","u"),"µ","u")," ",""),"k1=",""),"k2=",""),"k3=",""),"kd=",""),"ka=",""),"k=",""),"°c",""),"m-1",""),"um",""),"mm",""))</f>
        <v/>
      </c>
      <c r="AQ6">
        <f>TRIM(SUBSTITUTE(SUBSTITUTE(SUBSTITUTE(SUBSTITUTE(SUBSTITUTE(SUBSTITUTE(SUBSTITUTE(SUBSTITUTE(SUBSTITUTE(SUBSTITUTE(SUBSTITUTE(SUBSTITUTE(SUBSTITUTE(LOWER(SUBSTITUTE(SUBSTITUTE(SUBSTITUTE(SUBSTITUTE(SUBSTITUTE(P6,"×","x"),"·",""),"−","-"),"–","-"),"^","")),"μ","u"),"µ","u")," ",""),"k1=",""),"k2=",""),"k3=",""),"kd=",""),"ka=",""),"k=",""),"°c",""),"m-1",""),"um",""),"mm",""))</f>
        <v/>
      </c>
    </row>
    <row r="7">
      <c r="A7" s="10" t="n">
        <v>4</v>
      </c>
      <c r="B7" s="11" t="inlineStr">
        <is>
          <t>Bovine</t>
        </is>
      </c>
      <c r="C7" s="11" t="n">
        <v>4</v>
      </c>
      <c r="D7" s="11" t="inlineStr">
        <is>
          <t>TnC-TnI</t>
        </is>
      </c>
      <c r="E7" s="11" t="inlineStr">
        <is>
          <t>SC</t>
        </is>
      </c>
      <c r="F7" s="11" t="inlineStr">
        <is>
          <t>None</t>
        </is>
      </c>
      <c r="G7" s="11" t="inlineStr">
        <is>
          <t>1 x 10^6</t>
        </is>
      </c>
      <c r="H7" s="11" t="n">
        <v>1</v>
      </c>
      <c r="J7" s="12" t="n"/>
      <c r="K7" s="12" t="n"/>
      <c r="L7" s="12" t="n"/>
      <c r="M7" s="12" t="n"/>
      <c r="N7" s="12" t="n"/>
      <c r="O7" s="12" t="n"/>
      <c r="P7" s="12" t="n"/>
      <c r="R7" s="13">
        <f>IF(J7="",0,IF(EXACT($AC7,$AK7),1,IF(IFERROR(VALUE($AC7)=VALUE($AK7),FALSE),1,0)))</f>
        <v/>
      </c>
      <c r="S7" s="13">
        <f>IF(K7="",0,IF(EXACT($AD7,$AL7),1,IF(IFERROR(VALUE($AD7)=VALUE($AL7),FALSE),1,0)))</f>
        <v/>
      </c>
      <c r="T7" s="13">
        <f>IF(L7="",0,IF(EXACT($AE7,$AM7),1,IF(IFERROR(VALUE($AE7)=VALUE($AM7),FALSE),1,0)))</f>
        <v/>
      </c>
      <c r="U7" s="13">
        <f>IF(M7="",0,IF(EXACT($AF7,$AN7),1,IF(IFERROR(VALUE($AF7)=VALUE($AN7),FALSE),1,0)))</f>
        <v/>
      </c>
      <c r="V7" s="13">
        <f>IF(N7="",0,IF(EXACT($AG7,$AO7),1,IF(IFERROR(VALUE($AG7)=VALUE($AO7),FALSE),1,0)))</f>
        <v/>
      </c>
      <c r="W7" s="13">
        <f>IF(O7="",0,IF(EXACT($AH7,$AP7),1,IF(IFERROR(VALUE($AH7)=VALUE($AP7),FALSE),1,0)))</f>
        <v/>
      </c>
      <c r="X7" s="13">
        <f>IF(P7="",0,IF(EXACT($AI7,$AQ7),1,IF(IFERROR(VALUE($AI7)=VALUE($AQ7),FALSE),1,0)))</f>
        <v/>
      </c>
      <c r="Y7" s="13">
        <f>SUM(R7:X7)</f>
        <v/>
      </c>
      <c r="Z7" s="14" t="n"/>
      <c r="AA7" s="13">
        <f>IF(Z7="",Y7,Z7)</f>
        <v/>
      </c>
      <c r="AC7">
        <f>TRIM(SUBSTITUTE(SUBSTITUTE(SUBSTITUTE(SUBSTITUTE(SUBSTITUTE(SUBSTITUTE(SUBSTITUTE(SUBSTITUTE(SUBSTITUTE(SUBSTITUTE(SUBSTITUTE(SUBSTITUTE(SUBSTITUTE(LOWER(SUBSTITUTE(SUBSTITUTE(SUBSTITUTE(SUBSTITUTE(SUBSTITUTE(B7,"×","x"),"·",""),"−","-"),"–","-"),"^","")),"μ","u"),"µ","u")," ",""),"k1=",""),"k2=",""),"k3=",""),"kd=",""),"ka=",""),"k=",""),"°c",""),"m-1",""),"um",""),"mm",""))</f>
        <v/>
      </c>
      <c r="AD7">
        <f>TRIM(SUBSTITUTE(SUBSTITUTE(SUBSTITUTE(SUBSTITUTE(SUBSTITUTE(SUBSTITUTE(SUBSTITUTE(SUBSTITUTE(SUBSTITUTE(SUBSTITUTE(SUBSTITUTE(SUBSTITUTE(SUBSTITUTE(LOWER(SUBSTITUTE(SUBSTITUTE(SUBSTITUTE(SUBSTITUTE(SUBSTITUTE(C7,"×","x"),"·",""),"−","-"),"–","-"),"^","")),"μ","u"),"µ","u")," ",""),"k1=",""),"k2=",""),"k3=",""),"kd=",""),"ka=",""),"k=",""),"°c",""),"m-1",""),"um",""),"mm",""))</f>
        <v/>
      </c>
      <c r="AE7">
        <f>TRIM(SUBSTITUTE(SUBSTITUTE(SUBSTITUTE(SUBSTITUTE(SUBSTITUTE(SUBSTITUTE(SUBSTITUTE(SUBSTITUTE(SUBSTITUTE(SUBSTITUTE(SUBSTITUTE(SUBSTITUTE(SUBSTITUTE(LOWER(SUBSTITUTE(SUBSTITUTE(SUBSTITUTE(SUBSTITUTE(SUBSTITUTE(D7,"×","x"),"·",""),"−","-"),"–","-"),"^","")),"μ","u"),"µ","u")," ",""),"k1=",""),"k2=",""),"k3=",""),"kd=",""),"ka=",""),"k=",""),"°c",""),"m-1",""),"um",""),"mm",""))</f>
        <v/>
      </c>
      <c r="AF7">
        <f>TRIM(SUBSTITUTE(SUBSTITUTE(SUBSTITUTE(SUBSTITUTE(SUBSTITUTE(SUBSTITUTE(SUBSTITUTE(SUBSTITUTE(SUBSTITUTE(SUBSTITUTE(SUBSTITUTE(SUBSTITUTE(SUBSTITUTE(LOWER(SUBSTITUTE(SUBSTITUTE(SUBSTITUTE(SUBSTITUTE(SUBSTITUTE(E7,"×","x"),"·",""),"−","-"),"–","-"),"^","")),"μ","u"),"µ","u")," ",""),"k1=",""),"k2=",""),"k3=",""),"kd=",""),"ka=",""),"k=",""),"°c",""),"m-1",""),"um",""),"mm",""))</f>
        <v/>
      </c>
      <c r="AG7">
        <f>TRIM(SUBSTITUTE(SUBSTITUTE(SUBSTITUTE(SUBSTITUTE(SUBSTITUTE(SUBSTITUTE(SUBSTITUTE(SUBSTITUTE(SUBSTITUTE(SUBSTITUTE(SUBSTITUTE(SUBSTITUTE(SUBSTITUTE(LOWER(SUBSTITUTE(SUBSTITUTE(SUBSTITUTE(SUBSTITUTE(SUBSTITUTE(F7,"×","x"),"·",""),"−","-"),"–","-"),"^","")),"μ","u"),"µ","u")," ",""),"k1=",""),"k2=",""),"k3=",""),"kd=",""),"ka=",""),"k=",""),"°c",""),"m-1",""),"um",""),"mm",""))</f>
        <v/>
      </c>
      <c r="AH7">
        <f>TRIM(SUBSTITUTE(SUBSTITUTE(SUBSTITUTE(SUBSTITUTE(SUBSTITUTE(SUBSTITUTE(SUBSTITUTE(SUBSTITUTE(SUBSTITUTE(SUBSTITUTE(SUBSTITUTE(SUBSTITUTE(SUBSTITUTE(LOWER(SUBSTITUTE(SUBSTITUTE(SUBSTITUTE(SUBSTITUTE(SUBSTITUTE(G7,"×","x"),"·",""),"−","-"),"–","-"),"^","")),"μ","u"),"µ","u")," ",""),"k1=",""),"k2=",""),"k3=",""),"kd=",""),"ka=",""),"k=",""),"°c",""),"m-1",""),"um",""),"mm",""))</f>
        <v/>
      </c>
      <c r="AI7">
        <f>TRIM(SUBSTITUTE(SUBSTITUTE(SUBSTITUTE(SUBSTITUTE(SUBSTITUTE(SUBSTITUTE(SUBSTITUTE(SUBSTITUTE(SUBSTITUTE(SUBSTITUTE(SUBSTITUTE(SUBSTITUTE(SUBSTITUTE(LOWER(SUBSTITUTE(SUBSTITUTE(SUBSTITUTE(SUBSTITUTE(SUBSTITUTE(H7,"×","x"),"·",""),"−","-"),"–","-"),"^","")),"μ","u"),"µ","u")," ",""),"k1=",""),"k2=",""),"k3=",""),"kd=",""),"ka=",""),"k=",""),"°c",""),"m-1",""),"um",""),"mm",""))</f>
        <v/>
      </c>
      <c r="AK7">
        <f>TRIM(SUBSTITUTE(SUBSTITUTE(SUBSTITUTE(SUBSTITUTE(SUBSTITUTE(SUBSTITUTE(SUBSTITUTE(SUBSTITUTE(SUBSTITUTE(SUBSTITUTE(SUBSTITUTE(SUBSTITUTE(SUBSTITUTE(LOWER(SUBSTITUTE(SUBSTITUTE(SUBSTITUTE(SUBSTITUTE(SUBSTITUTE(J7,"×","x"),"·",""),"−","-"),"–","-"),"^","")),"μ","u"),"µ","u")," ",""),"k1=",""),"k2=",""),"k3=",""),"kd=",""),"ka=",""),"k=",""),"°c",""),"m-1",""),"um",""),"mm",""))</f>
        <v/>
      </c>
      <c r="AL7">
        <f>TRIM(SUBSTITUTE(SUBSTITUTE(SUBSTITUTE(SUBSTITUTE(SUBSTITUTE(SUBSTITUTE(SUBSTITUTE(SUBSTITUTE(SUBSTITUTE(SUBSTITUTE(SUBSTITUTE(SUBSTITUTE(SUBSTITUTE(LOWER(SUBSTITUTE(SUBSTITUTE(SUBSTITUTE(SUBSTITUTE(SUBSTITUTE(K7,"×","x"),"·",""),"−","-"),"–","-"),"^","")),"μ","u"),"µ","u")," ",""),"k1=",""),"k2=",""),"k3=",""),"kd=",""),"ka=",""),"k=",""),"°c",""),"m-1",""),"um",""),"mm",""))</f>
        <v/>
      </c>
      <c r="AM7">
        <f>TRIM(SUBSTITUTE(SUBSTITUTE(SUBSTITUTE(SUBSTITUTE(SUBSTITUTE(SUBSTITUTE(SUBSTITUTE(SUBSTITUTE(SUBSTITUTE(SUBSTITUTE(SUBSTITUTE(SUBSTITUTE(SUBSTITUTE(LOWER(SUBSTITUTE(SUBSTITUTE(SUBSTITUTE(SUBSTITUTE(SUBSTITUTE(L7,"×","x"),"·",""),"−","-"),"–","-"),"^","")),"μ","u"),"µ","u")," ",""),"k1=",""),"k2=",""),"k3=",""),"kd=",""),"ka=",""),"k=",""),"°c",""),"m-1",""),"um",""),"mm",""))</f>
        <v/>
      </c>
      <c r="AN7">
        <f>TRIM(SUBSTITUTE(SUBSTITUTE(SUBSTITUTE(SUBSTITUTE(SUBSTITUTE(SUBSTITUTE(SUBSTITUTE(SUBSTITUTE(SUBSTITUTE(SUBSTITUTE(SUBSTITUTE(SUBSTITUTE(SUBSTITUTE(LOWER(SUBSTITUTE(SUBSTITUTE(SUBSTITUTE(SUBSTITUTE(SUBSTITUTE(M7,"×","x"),"·",""),"−","-"),"–","-"),"^","")),"μ","u"),"µ","u")," ",""),"k1=",""),"k2=",""),"k3=",""),"kd=",""),"ka=",""),"k=",""),"°c",""),"m-1",""),"um",""),"mm",""))</f>
        <v/>
      </c>
      <c r="AO7">
        <f>TRIM(SUBSTITUTE(SUBSTITUTE(SUBSTITUTE(SUBSTITUTE(SUBSTITUTE(SUBSTITUTE(SUBSTITUTE(SUBSTITUTE(SUBSTITUTE(SUBSTITUTE(SUBSTITUTE(SUBSTITUTE(SUBSTITUTE(LOWER(SUBSTITUTE(SUBSTITUTE(SUBSTITUTE(SUBSTITUTE(SUBSTITUTE(N7,"×","x"),"·",""),"−","-"),"–","-"),"^","")),"μ","u"),"µ","u")," ",""),"k1=",""),"k2=",""),"k3=",""),"kd=",""),"ka=",""),"k=",""),"°c",""),"m-1",""),"um",""),"mm",""))</f>
        <v/>
      </c>
      <c r="AP7">
        <f>TRIM(SUBSTITUTE(SUBSTITUTE(SUBSTITUTE(SUBSTITUTE(SUBSTITUTE(SUBSTITUTE(SUBSTITUTE(SUBSTITUTE(SUBSTITUTE(SUBSTITUTE(SUBSTITUTE(SUBSTITUTE(SUBSTITUTE(LOWER(SUBSTITUTE(SUBSTITUTE(SUBSTITUTE(SUBSTITUTE(SUBSTITUTE(O7,"×","x"),"·",""),"−","-"),"–","-"),"^","")),"μ","u"),"µ","u")," ",""),"k1=",""),"k2=",""),"k3=",""),"kd=",""),"ka=",""),"k=",""),"°c",""),"m-1",""),"um",""),"mm",""))</f>
        <v/>
      </c>
      <c r="AQ7">
        <f>TRIM(SUBSTITUTE(SUBSTITUTE(SUBSTITUTE(SUBSTITUTE(SUBSTITUTE(SUBSTITUTE(SUBSTITUTE(SUBSTITUTE(SUBSTITUTE(SUBSTITUTE(SUBSTITUTE(SUBSTITUTE(SUBSTITUTE(LOWER(SUBSTITUTE(SUBSTITUTE(SUBSTITUTE(SUBSTITUTE(SUBSTITUTE(P7,"×","x"),"·",""),"−","-"),"–","-"),"^","")),"μ","u"),"µ","u")," ",""),"k1=",""),"k2=",""),"k3=",""),"kd=",""),"ka=",""),"k=",""),"°c",""),"m-1",""),"um",""),"mm",""))</f>
        <v/>
      </c>
    </row>
    <row r="8">
      <c r="A8" s="10" t="n">
        <v>5</v>
      </c>
      <c r="B8" s="11" t="inlineStr">
        <is>
          <t>Bovine</t>
        </is>
      </c>
      <c r="C8" s="11" t="n">
        <v>4</v>
      </c>
      <c r="D8" s="11" t="inlineStr">
        <is>
          <t>Tn</t>
        </is>
      </c>
      <c r="E8" s="11" t="inlineStr">
        <is>
          <t>SC</t>
        </is>
      </c>
      <c r="F8" s="11" t="inlineStr">
        <is>
          <t>None</t>
        </is>
      </c>
      <c r="G8" s="11" t="inlineStr">
        <is>
          <t>2.5 x 10^6</t>
        </is>
      </c>
      <c r="H8" s="11" t="n">
        <v>0.4</v>
      </c>
      <c r="J8" s="12" t="n"/>
      <c r="K8" s="12" t="n"/>
      <c r="L8" s="12" t="n"/>
      <c r="M8" s="12" t="n"/>
      <c r="N8" s="12" t="n"/>
      <c r="O8" s="12" t="n"/>
      <c r="P8" s="12" t="n"/>
      <c r="R8" s="13">
        <f>IF(J8="",0,IF(EXACT($AC8,$AK8),1,IF(IFERROR(VALUE($AC8)=VALUE($AK8),FALSE),1,0)))</f>
        <v/>
      </c>
      <c r="S8" s="13">
        <f>IF(K8="",0,IF(EXACT($AD8,$AL8),1,IF(IFERROR(VALUE($AD8)=VALUE($AL8),FALSE),1,0)))</f>
        <v/>
      </c>
      <c r="T8" s="13">
        <f>IF(L8="",0,IF(EXACT($AE8,$AM8),1,IF(IFERROR(VALUE($AE8)=VALUE($AM8),FALSE),1,0)))</f>
        <v/>
      </c>
      <c r="U8" s="13">
        <f>IF(M8="",0,IF(EXACT($AF8,$AN8),1,IF(IFERROR(VALUE($AF8)=VALUE($AN8),FALSE),1,0)))</f>
        <v/>
      </c>
      <c r="V8" s="13">
        <f>IF(N8="",0,IF(EXACT($AG8,$AO8),1,IF(IFERROR(VALUE($AG8)=VALUE($AO8),FALSE),1,0)))</f>
        <v/>
      </c>
      <c r="W8" s="13">
        <f>IF(O8="",0,IF(EXACT($AH8,$AP8),1,IF(IFERROR(VALUE($AH8)=VALUE($AP8),FALSE),1,0)))</f>
        <v/>
      </c>
      <c r="X8" s="13">
        <f>IF(P8="",0,IF(EXACT($AI8,$AQ8),1,IF(IFERROR(VALUE($AI8)=VALUE($AQ8),FALSE),1,0)))</f>
        <v/>
      </c>
      <c r="Y8" s="13">
        <f>SUM(R8:X8)</f>
        <v/>
      </c>
      <c r="Z8" s="14" t="n"/>
      <c r="AA8" s="13">
        <f>IF(Z8="",Y8,Z8)</f>
        <v/>
      </c>
      <c r="AC8">
        <f>TRIM(SUBSTITUTE(SUBSTITUTE(SUBSTITUTE(SUBSTITUTE(SUBSTITUTE(SUBSTITUTE(SUBSTITUTE(SUBSTITUTE(SUBSTITUTE(SUBSTITUTE(SUBSTITUTE(SUBSTITUTE(SUBSTITUTE(LOWER(SUBSTITUTE(SUBSTITUTE(SUBSTITUTE(SUBSTITUTE(SUBSTITUTE(B8,"×","x"),"·",""),"−","-"),"–","-"),"^","")),"μ","u"),"µ","u")," ",""),"k1=",""),"k2=",""),"k3=",""),"kd=",""),"ka=",""),"k=",""),"°c",""),"m-1",""),"um",""),"mm",""))</f>
        <v/>
      </c>
      <c r="AD8">
        <f>TRIM(SUBSTITUTE(SUBSTITUTE(SUBSTITUTE(SUBSTITUTE(SUBSTITUTE(SUBSTITUTE(SUBSTITUTE(SUBSTITUTE(SUBSTITUTE(SUBSTITUTE(SUBSTITUTE(SUBSTITUTE(SUBSTITUTE(LOWER(SUBSTITUTE(SUBSTITUTE(SUBSTITUTE(SUBSTITUTE(SUBSTITUTE(C8,"×","x"),"·",""),"−","-"),"–","-"),"^","")),"μ","u"),"µ","u")," ",""),"k1=",""),"k2=",""),"k3=",""),"kd=",""),"ka=",""),"k=",""),"°c",""),"m-1",""),"um",""),"mm",""))</f>
        <v/>
      </c>
      <c r="AE8">
        <f>TRIM(SUBSTITUTE(SUBSTITUTE(SUBSTITUTE(SUBSTITUTE(SUBSTITUTE(SUBSTITUTE(SUBSTITUTE(SUBSTITUTE(SUBSTITUTE(SUBSTITUTE(SUBSTITUTE(SUBSTITUTE(SUBSTITUTE(LOWER(SUBSTITUTE(SUBSTITUTE(SUBSTITUTE(SUBSTITUTE(SUBSTITUTE(D8,"×","x"),"·",""),"−","-"),"–","-"),"^","")),"μ","u"),"µ","u")," ",""),"k1=",""),"k2=",""),"k3=",""),"kd=",""),"ka=",""),"k=",""),"°c",""),"m-1",""),"um",""),"mm",""))</f>
        <v/>
      </c>
      <c r="AF8">
        <f>TRIM(SUBSTITUTE(SUBSTITUTE(SUBSTITUTE(SUBSTITUTE(SUBSTITUTE(SUBSTITUTE(SUBSTITUTE(SUBSTITUTE(SUBSTITUTE(SUBSTITUTE(SUBSTITUTE(SUBSTITUTE(SUBSTITUTE(LOWER(SUBSTITUTE(SUBSTITUTE(SUBSTITUTE(SUBSTITUTE(SUBSTITUTE(E8,"×","x"),"·",""),"−","-"),"–","-"),"^","")),"μ","u"),"µ","u")," ",""),"k1=",""),"k2=",""),"k3=",""),"kd=",""),"ka=",""),"k=",""),"°c",""),"m-1",""),"um",""),"mm",""))</f>
        <v/>
      </c>
      <c r="AG8">
        <f>TRIM(SUBSTITUTE(SUBSTITUTE(SUBSTITUTE(SUBSTITUTE(SUBSTITUTE(SUBSTITUTE(SUBSTITUTE(SUBSTITUTE(SUBSTITUTE(SUBSTITUTE(SUBSTITUTE(SUBSTITUTE(SUBSTITUTE(LOWER(SUBSTITUTE(SUBSTITUTE(SUBSTITUTE(SUBSTITUTE(SUBSTITUTE(F8,"×","x"),"·",""),"−","-"),"–","-"),"^","")),"μ","u"),"µ","u")," ",""),"k1=",""),"k2=",""),"k3=",""),"kd=",""),"ka=",""),"k=",""),"°c",""),"m-1",""),"um",""),"mm",""))</f>
        <v/>
      </c>
      <c r="AH8">
        <f>TRIM(SUBSTITUTE(SUBSTITUTE(SUBSTITUTE(SUBSTITUTE(SUBSTITUTE(SUBSTITUTE(SUBSTITUTE(SUBSTITUTE(SUBSTITUTE(SUBSTITUTE(SUBSTITUTE(SUBSTITUTE(SUBSTITUTE(LOWER(SUBSTITUTE(SUBSTITUTE(SUBSTITUTE(SUBSTITUTE(SUBSTITUTE(G8,"×","x"),"·",""),"−","-"),"–","-"),"^","")),"μ","u"),"µ","u")," ",""),"k1=",""),"k2=",""),"k3=",""),"kd=",""),"ka=",""),"k=",""),"°c",""),"m-1",""),"um",""),"mm",""))</f>
        <v/>
      </c>
      <c r="AI8">
        <f>TRIM(SUBSTITUTE(SUBSTITUTE(SUBSTITUTE(SUBSTITUTE(SUBSTITUTE(SUBSTITUTE(SUBSTITUTE(SUBSTITUTE(SUBSTITUTE(SUBSTITUTE(SUBSTITUTE(SUBSTITUTE(SUBSTITUTE(LOWER(SUBSTITUTE(SUBSTITUTE(SUBSTITUTE(SUBSTITUTE(SUBSTITUTE(H8,"×","x"),"·",""),"−","-"),"–","-"),"^","")),"μ","u"),"µ","u")," ",""),"k1=",""),"k2=",""),"k3=",""),"kd=",""),"ka=",""),"k=",""),"°c",""),"m-1",""),"um",""),"mm",""))</f>
        <v/>
      </c>
      <c r="AK8">
        <f>TRIM(SUBSTITUTE(SUBSTITUTE(SUBSTITUTE(SUBSTITUTE(SUBSTITUTE(SUBSTITUTE(SUBSTITUTE(SUBSTITUTE(SUBSTITUTE(SUBSTITUTE(SUBSTITUTE(SUBSTITUTE(SUBSTITUTE(LOWER(SUBSTITUTE(SUBSTITUTE(SUBSTITUTE(SUBSTITUTE(SUBSTITUTE(J8,"×","x"),"·",""),"−","-"),"–","-"),"^","")),"μ","u"),"µ","u")," ",""),"k1=",""),"k2=",""),"k3=",""),"kd=",""),"ka=",""),"k=",""),"°c",""),"m-1",""),"um",""),"mm",""))</f>
        <v/>
      </c>
      <c r="AL8">
        <f>TRIM(SUBSTITUTE(SUBSTITUTE(SUBSTITUTE(SUBSTITUTE(SUBSTITUTE(SUBSTITUTE(SUBSTITUTE(SUBSTITUTE(SUBSTITUTE(SUBSTITUTE(SUBSTITUTE(SUBSTITUTE(SUBSTITUTE(LOWER(SUBSTITUTE(SUBSTITUTE(SUBSTITUTE(SUBSTITUTE(SUBSTITUTE(K8,"×","x"),"·",""),"−","-"),"–","-"),"^","")),"μ","u"),"µ","u")," ",""),"k1=",""),"k2=",""),"k3=",""),"kd=",""),"ka=",""),"k=",""),"°c",""),"m-1",""),"um",""),"mm",""))</f>
        <v/>
      </c>
      <c r="AM8">
        <f>TRIM(SUBSTITUTE(SUBSTITUTE(SUBSTITUTE(SUBSTITUTE(SUBSTITUTE(SUBSTITUTE(SUBSTITUTE(SUBSTITUTE(SUBSTITUTE(SUBSTITUTE(SUBSTITUTE(SUBSTITUTE(SUBSTITUTE(LOWER(SUBSTITUTE(SUBSTITUTE(SUBSTITUTE(SUBSTITUTE(SUBSTITUTE(L8,"×","x"),"·",""),"−","-"),"–","-"),"^","")),"μ","u"),"µ","u")," ",""),"k1=",""),"k2=",""),"k3=",""),"kd=",""),"ka=",""),"k=",""),"°c",""),"m-1",""),"um",""),"mm",""))</f>
        <v/>
      </c>
      <c r="AN8">
        <f>TRIM(SUBSTITUTE(SUBSTITUTE(SUBSTITUTE(SUBSTITUTE(SUBSTITUTE(SUBSTITUTE(SUBSTITUTE(SUBSTITUTE(SUBSTITUTE(SUBSTITUTE(SUBSTITUTE(SUBSTITUTE(SUBSTITUTE(LOWER(SUBSTITUTE(SUBSTITUTE(SUBSTITUTE(SUBSTITUTE(SUBSTITUTE(M8,"×","x"),"·",""),"−","-"),"–","-"),"^","")),"μ","u"),"µ","u")," ",""),"k1=",""),"k2=",""),"k3=",""),"kd=",""),"ka=",""),"k=",""),"°c",""),"m-1",""),"um",""),"mm",""))</f>
        <v/>
      </c>
      <c r="AO8">
        <f>TRIM(SUBSTITUTE(SUBSTITUTE(SUBSTITUTE(SUBSTITUTE(SUBSTITUTE(SUBSTITUTE(SUBSTITUTE(SUBSTITUTE(SUBSTITUTE(SUBSTITUTE(SUBSTITUTE(SUBSTITUTE(SUBSTITUTE(LOWER(SUBSTITUTE(SUBSTITUTE(SUBSTITUTE(SUBSTITUTE(SUBSTITUTE(N8,"×","x"),"·",""),"−","-"),"–","-"),"^","")),"μ","u"),"µ","u")," ",""),"k1=",""),"k2=",""),"k3=",""),"kd=",""),"ka=",""),"k=",""),"°c",""),"m-1",""),"um",""),"mm",""))</f>
        <v/>
      </c>
      <c r="AP8">
        <f>TRIM(SUBSTITUTE(SUBSTITUTE(SUBSTITUTE(SUBSTITUTE(SUBSTITUTE(SUBSTITUTE(SUBSTITUTE(SUBSTITUTE(SUBSTITUTE(SUBSTITUTE(SUBSTITUTE(SUBSTITUTE(SUBSTITUTE(LOWER(SUBSTITUTE(SUBSTITUTE(SUBSTITUTE(SUBSTITUTE(SUBSTITUTE(O8,"×","x"),"·",""),"−","-"),"–","-"),"^","")),"μ","u"),"µ","u")," ",""),"k1=",""),"k2=",""),"k3=",""),"kd=",""),"ka=",""),"k=",""),"°c",""),"m-1",""),"um",""),"mm",""))</f>
        <v/>
      </c>
      <c r="AQ8">
        <f>TRIM(SUBSTITUTE(SUBSTITUTE(SUBSTITUTE(SUBSTITUTE(SUBSTITUTE(SUBSTITUTE(SUBSTITUTE(SUBSTITUTE(SUBSTITUTE(SUBSTITUTE(SUBSTITUTE(SUBSTITUTE(SUBSTITUTE(LOWER(SUBSTITUTE(SUBSTITUTE(SUBSTITUTE(SUBSTITUTE(SUBSTITUTE(P8,"×","x"),"·",""),"−","-"),"–","-"),"^","")),"μ","u"),"µ","u")," ",""),"k1=",""),"k2=",""),"k3=",""),"kd=",""),"ka=",""),"k=",""),"°c",""),"m-1",""),"um",""),"mm",""))</f>
        <v/>
      </c>
    </row>
    <row r="9">
      <c r="A9" s="10" t="n">
        <v>6</v>
      </c>
      <c r="B9" s="11" t="inlineStr">
        <is>
          <t>Bovine</t>
        </is>
      </c>
      <c r="C9" s="11" t="n">
        <v>4</v>
      </c>
      <c r="D9" s="11" t="inlineStr">
        <is>
          <t>Tn</t>
        </is>
      </c>
      <c r="E9" s="11" t="inlineStr">
        <is>
          <t>SC</t>
        </is>
      </c>
      <c r="F9" s="11" t="n">
        <v>4</v>
      </c>
      <c r="G9" s="11" t="inlineStr">
        <is>
          <t>2.5 x 10^6</t>
        </is>
      </c>
      <c r="H9" s="11" t="n">
        <v>0.4</v>
      </c>
      <c r="J9" s="12" t="n"/>
      <c r="K9" s="12" t="n"/>
      <c r="L9" s="12" t="n"/>
      <c r="M9" s="12" t="n"/>
      <c r="N9" s="12" t="n"/>
      <c r="O9" s="12" t="n"/>
      <c r="P9" s="12" t="n"/>
      <c r="R9" s="13">
        <f>IF(J9="",0,IF(EXACT($AC9,$AK9),1,IF(IFERROR(VALUE($AC9)=VALUE($AK9),FALSE),1,0)))</f>
        <v/>
      </c>
      <c r="S9" s="13">
        <f>IF(K9="",0,IF(EXACT($AD9,$AL9),1,IF(IFERROR(VALUE($AD9)=VALUE($AL9),FALSE),1,0)))</f>
        <v/>
      </c>
      <c r="T9" s="13">
        <f>IF(L9="",0,IF(EXACT($AE9,$AM9),1,IF(IFERROR(VALUE($AE9)=VALUE($AM9),FALSE),1,0)))</f>
        <v/>
      </c>
      <c r="U9" s="13">
        <f>IF(M9="",0,IF(EXACT($AF9,$AN9),1,IF(IFERROR(VALUE($AF9)=VALUE($AN9),FALSE),1,0)))</f>
        <v/>
      </c>
      <c r="V9" s="13">
        <f>IF(N9="",0,IF(EXACT($AG9,$AO9),1,IF(IFERROR(VALUE($AG9)=VALUE($AO9),FALSE),1,0)))</f>
        <v/>
      </c>
      <c r="W9" s="13">
        <f>IF(O9="",0,IF(EXACT($AH9,$AP9),1,IF(IFERROR(VALUE($AH9)=VALUE($AP9),FALSE),1,0)))</f>
        <v/>
      </c>
      <c r="X9" s="13">
        <f>IF(P9="",0,IF(EXACT($AI9,$AQ9),1,IF(IFERROR(VALUE($AI9)=VALUE($AQ9),FALSE),1,0)))</f>
        <v/>
      </c>
      <c r="Y9" s="13">
        <f>SUM(R9:X9)</f>
        <v/>
      </c>
      <c r="Z9" s="14" t="n"/>
      <c r="AA9" s="13">
        <f>IF(Z9="",Y9,Z9)</f>
        <v/>
      </c>
      <c r="AC9">
        <f>TRIM(SUBSTITUTE(SUBSTITUTE(SUBSTITUTE(SUBSTITUTE(SUBSTITUTE(SUBSTITUTE(SUBSTITUTE(SUBSTITUTE(SUBSTITUTE(SUBSTITUTE(SUBSTITUTE(SUBSTITUTE(SUBSTITUTE(LOWER(SUBSTITUTE(SUBSTITUTE(SUBSTITUTE(SUBSTITUTE(SUBSTITUTE(B9,"×","x"),"·",""),"−","-"),"–","-"),"^","")),"μ","u"),"µ","u")," ",""),"k1=",""),"k2=",""),"k3=",""),"kd=",""),"ka=",""),"k=",""),"°c",""),"m-1",""),"um",""),"mm",""))</f>
        <v/>
      </c>
      <c r="AD9">
        <f>TRIM(SUBSTITUTE(SUBSTITUTE(SUBSTITUTE(SUBSTITUTE(SUBSTITUTE(SUBSTITUTE(SUBSTITUTE(SUBSTITUTE(SUBSTITUTE(SUBSTITUTE(SUBSTITUTE(SUBSTITUTE(SUBSTITUTE(LOWER(SUBSTITUTE(SUBSTITUTE(SUBSTITUTE(SUBSTITUTE(SUBSTITUTE(C9,"×","x"),"·",""),"−","-"),"–","-"),"^","")),"μ","u"),"µ","u")," ",""),"k1=",""),"k2=",""),"k3=",""),"kd=",""),"ka=",""),"k=",""),"°c",""),"m-1",""),"um",""),"mm",""))</f>
        <v/>
      </c>
      <c r="AE9">
        <f>TRIM(SUBSTITUTE(SUBSTITUTE(SUBSTITUTE(SUBSTITUTE(SUBSTITUTE(SUBSTITUTE(SUBSTITUTE(SUBSTITUTE(SUBSTITUTE(SUBSTITUTE(SUBSTITUTE(SUBSTITUTE(SUBSTITUTE(LOWER(SUBSTITUTE(SUBSTITUTE(SUBSTITUTE(SUBSTITUTE(SUBSTITUTE(D9,"×","x"),"·",""),"−","-"),"–","-"),"^","")),"μ","u"),"µ","u")," ",""),"k1=",""),"k2=",""),"k3=",""),"kd=",""),"ka=",""),"k=",""),"°c",""),"m-1",""),"um",""),"mm",""))</f>
        <v/>
      </c>
      <c r="AF9">
        <f>TRIM(SUBSTITUTE(SUBSTITUTE(SUBSTITUTE(SUBSTITUTE(SUBSTITUTE(SUBSTITUTE(SUBSTITUTE(SUBSTITUTE(SUBSTITUTE(SUBSTITUTE(SUBSTITUTE(SUBSTITUTE(SUBSTITUTE(LOWER(SUBSTITUTE(SUBSTITUTE(SUBSTITUTE(SUBSTITUTE(SUBSTITUTE(E9,"×","x"),"·",""),"−","-"),"–","-"),"^","")),"μ","u"),"µ","u")," ",""),"k1=",""),"k2=",""),"k3=",""),"kd=",""),"ka=",""),"k=",""),"°c",""),"m-1",""),"um",""),"mm",""))</f>
        <v/>
      </c>
      <c r="AG9">
        <f>TRIM(SUBSTITUTE(SUBSTITUTE(SUBSTITUTE(SUBSTITUTE(SUBSTITUTE(SUBSTITUTE(SUBSTITUTE(SUBSTITUTE(SUBSTITUTE(SUBSTITUTE(SUBSTITUTE(SUBSTITUTE(SUBSTITUTE(LOWER(SUBSTITUTE(SUBSTITUTE(SUBSTITUTE(SUBSTITUTE(SUBSTITUTE(F9,"×","x"),"·",""),"−","-"),"–","-"),"^","")),"μ","u"),"µ","u")," ",""),"k1=",""),"k2=",""),"k3=",""),"kd=",""),"ka=",""),"k=",""),"°c",""),"m-1",""),"um",""),"mm",""))</f>
        <v/>
      </c>
      <c r="AH9">
        <f>TRIM(SUBSTITUTE(SUBSTITUTE(SUBSTITUTE(SUBSTITUTE(SUBSTITUTE(SUBSTITUTE(SUBSTITUTE(SUBSTITUTE(SUBSTITUTE(SUBSTITUTE(SUBSTITUTE(SUBSTITUTE(SUBSTITUTE(LOWER(SUBSTITUTE(SUBSTITUTE(SUBSTITUTE(SUBSTITUTE(SUBSTITUTE(G9,"×","x"),"·",""),"−","-"),"–","-"),"^","")),"μ","u"),"µ","u")," ",""),"k1=",""),"k2=",""),"k3=",""),"kd=",""),"ka=",""),"k=",""),"°c",""),"m-1",""),"um",""),"mm",""))</f>
        <v/>
      </c>
      <c r="AI9">
        <f>TRIM(SUBSTITUTE(SUBSTITUTE(SUBSTITUTE(SUBSTITUTE(SUBSTITUTE(SUBSTITUTE(SUBSTITUTE(SUBSTITUTE(SUBSTITUTE(SUBSTITUTE(SUBSTITUTE(SUBSTITUTE(SUBSTITUTE(LOWER(SUBSTITUTE(SUBSTITUTE(SUBSTITUTE(SUBSTITUTE(SUBSTITUTE(H9,"×","x"),"·",""),"−","-"),"–","-"),"^","")),"μ","u"),"µ","u")," ",""),"k1=",""),"k2=",""),"k3=",""),"kd=",""),"ka=",""),"k=",""),"°c",""),"m-1",""),"um",""),"mm",""))</f>
        <v/>
      </c>
      <c r="AK9">
        <f>TRIM(SUBSTITUTE(SUBSTITUTE(SUBSTITUTE(SUBSTITUTE(SUBSTITUTE(SUBSTITUTE(SUBSTITUTE(SUBSTITUTE(SUBSTITUTE(SUBSTITUTE(SUBSTITUTE(SUBSTITUTE(SUBSTITUTE(LOWER(SUBSTITUTE(SUBSTITUTE(SUBSTITUTE(SUBSTITUTE(SUBSTITUTE(J9,"×","x"),"·",""),"−","-"),"–","-"),"^","")),"μ","u"),"µ","u")," ",""),"k1=",""),"k2=",""),"k3=",""),"kd=",""),"ka=",""),"k=",""),"°c",""),"m-1",""),"um",""),"mm",""))</f>
        <v/>
      </c>
      <c r="AL9">
        <f>TRIM(SUBSTITUTE(SUBSTITUTE(SUBSTITUTE(SUBSTITUTE(SUBSTITUTE(SUBSTITUTE(SUBSTITUTE(SUBSTITUTE(SUBSTITUTE(SUBSTITUTE(SUBSTITUTE(SUBSTITUTE(SUBSTITUTE(LOWER(SUBSTITUTE(SUBSTITUTE(SUBSTITUTE(SUBSTITUTE(SUBSTITUTE(K9,"×","x"),"·",""),"−","-"),"–","-"),"^","")),"μ","u"),"µ","u")," ",""),"k1=",""),"k2=",""),"k3=",""),"kd=",""),"ka=",""),"k=",""),"°c",""),"m-1",""),"um",""),"mm",""))</f>
        <v/>
      </c>
      <c r="AM9">
        <f>TRIM(SUBSTITUTE(SUBSTITUTE(SUBSTITUTE(SUBSTITUTE(SUBSTITUTE(SUBSTITUTE(SUBSTITUTE(SUBSTITUTE(SUBSTITUTE(SUBSTITUTE(SUBSTITUTE(SUBSTITUTE(SUBSTITUTE(LOWER(SUBSTITUTE(SUBSTITUTE(SUBSTITUTE(SUBSTITUTE(SUBSTITUTE(L9,"×","x"),"·",""),"−","-"),"–","-"),"^","")),"μ","u"),"µ","u")," ",""),"k1=",""),"k2=",""),"k3=",""),"kd=",""),"ka=",""),"k=",""),"°c",""),"m-1",""),"um",""),"mm",""))</f>
        <v/>
      </c>
      <c r="AN9">
        <f>TRIM(SUBSTITUTE(SUBSTITUTE(SUBSTITUTE(SUBSTITUTE(SUBSTITUTE(SUBSTITUTE(SUBSTITUTE(SUBSTITUTE(SUBSTITUTE(SUBSTITUTE(SUBSTITUTE(SUBSTITUTE(SUBSTITUTE(LOWER(SUBSTITUTE(SUBSTITUTE(SUBSTITUTE(SUBSTITUTE(SUBSTITUTE(M9,"×","x"),"·",""),"−","-"),"–","-"),"^","")),"μ","u"),"µ","u")," ",""),"k1=",""),"k2=",""),"k3=",""),"kd=",""),"ka=",""),"k=",""),"°c",""),"m-1",""),"um",""),"mm",""))</f>
        <v/>
      </c>
      <c r="AO9">
        <f>TRIM(SUBSTITUTE(SUBSTITUTE(SUBSTITUTE(SUBSTITUTE(SUBSTITUTE(SUBSTITUTE(SUBSTITUTE(SUBSTITUTE(SUBSTITUTE(SUBSTITUTE(SUBSTITUTE(SUBSTITUTE(SUBSTITUTE(LOWER(SUBSTITUTE(SUBSTITUTE(SUBSTITUTE(SUBSTITUTE(SUBSTITUTE(N9,"×","x"),"·",""),"−","-"),"–","-"),"^","")),"μ","u"),"µ","u")," ",""),"k1=",""),"k2=",""),"k3=",""),"kd=",""),"ka=",""),"k=",""),"°c",""),"m-1",""),"um",""),"mm",""))</f>
        <v/>
      </c>
      <c r="AP9">
        <f>TRIM(SUBSTITUTE(SUBSTITUTE(SUBSTITUTE(SUBSTITUTE(SUBSTITUTE(SUBSTITUTE(SUBSTITUTE(SUBSTITUTE(SUBSTITUTE(SUBSTITUTE(SUBSTITUTE(SUBSTITUTE(SUBSTITUTE(LOWER(SUBSTITUTE(SUBSTITUTE(SUBSTITUTE(SUBSTITUTE(SUBSTITUTE(O9,"×","x"),"·",""),"−","-"),"–","-"),"^","")),"μ","u"),"µ","u")," ",""),"k1=",""),"k2=",""),"k3=",""),"kd=",""),"ka=",""),"k=",""),"°c",""),"m-1",""),"um",""),"mm",""))</f>
        <v/>
      </c>
      <c r="AQ9">
        <f>TRIM(SUBSTITUTE(SUBSTITUTE(SUBSTITUTE(SUBSTITUTE(SUBSTITUTE(SUBSTITUTE(SUBSTITUTE(SUBSTITUTE(SUBSTITUTE(SUBSTITUTE(SUBSTITUTE(SUBSTITUTE(SUBSTITUTE(LOWER(SUBSTITUTE(SUBSTITUTE(SUBSTITUTE(SUBSTITUTE(SUBSTITUTE(P9,"×","x"),"·",""),"−","-"),"–","-"),"^","")),"μ","u"),"µ","u")," ",""),"k1=",""),"k2=",""),"k3=",""),"kd=",""),"ka=",""),"k=",""),"°c",""),"m-1",""),"um",""),"mm",""))</f>
        <v/>
      </c>
    </row>
    <row r="11">
      <c r="W11" s="2" t="inlineStr">
        <is>
          <t>RUN TOTAL:</t>
        </is>
      </c>
      <c r="Y11" s="15">
        <f>SUM(AA4:AA9)</f>
        <v/>
      </c>
      <c r="Z11" s="3" t="inlineStr">
        <is>
          <t>out of 42</t>
        </is>
      </c>
      <c r="AA11" s="16">
        <f>IF(SUM(AA4:AA9)=0,"",Y11/42)</f>
        <v/>
      </c>
    </row>
    <row r="12">
      <c r="W12" s="3" t="inlineStr">
        <is>
          <t>Accuracy % →</t>
        </is>
      </c>
    </row>
    <row r="14">
      <c r="B14" s="3" t="inlineStr">
        <is>
          <t>Extra rows your model produced beyond these 6 (optional, for feedback):</t>
        </is>
      </c>
      <c r="J14" s="14" t="n"/>
    </row>
  </sheetData>
  <mergeCells count="3">
    <mergeCell ref="J2:P2"/>
    <mergeCell ref="B2:H2"/>
    <mergeCell ref="R2:X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pane xSplit="9" ySplit="3" topLeftCell="J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2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8" customWidth="1" min="25" max="25"/>
    <col width="14" customWidth="1" min="26" max="26"/>
    <col width="9" customWidth="1" min="27" max="27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</cols>
  <sheetData>
    <row r="1">
      <c r="A1" s="1" t="inlineStr">
        <is>
          <t>RUN 5</t>
        </is>
      </c>
      <c r="C1" s="3" t="inlineStr">
        <is>
          <t>Paste your model's values into the BLUE columns, one benchmark row at a time. The GREEN columns check them automatically.</t>
        </is>
      </c>
    </row>
    <row r="2">
      <c r="B2" s="4" t="inlineStr">
        <is>
          <t>BENCHMARK — do not edit</t>
        </is>
      </c>
      <c r="J2" s="5" t="inlineStr">
        <is>
          <t>YOUR MODEL — paste values here</t>
        </is>
      </c>
      <c r="R2" s="6" t="inlineStr">
        <is>
          <t>AUTO-CHECK (rough — you have the final say)</t>
        </is>
      </c>
      <c r="Y2" s="7" t="inlineStr">
        <is>
          <t>SCORE</t>
        </is>
      </c>
    </row>
    <row r="3" ht="30" customHeight="1">
      <c r="A3" s="8" t="inlineStr">
        <is>
          <t>Row</t>
        </is>
      </c>
      <c r="B3" s="9" t="inlineStr">
        <is>
          <t>Species</t>
        </is>
      </c>
      <c r="C3" s="9" t="inlineStr">
        <is>
          <t>Temp (°C)</t>
        </is>
      </c>
      <c r="D3" s="9" t="inlineStr">
        <is>
          <t>Troponin complex</t>
        </is>
      </c>
      <c r="E3" s="9" t="inlineStr">
        <is>
          <t>Bound Ca2+ measure</t>
        </is>
      </c>
      <c r="F3" s="9" t="inlineStr">
        <is>
          <t>Mg (mM)</t>
        </is>
      </c>
      <c r="G3" s="9" t="inlineStr">
        <is>
          <t>Kd (M^-1)</t>
        </is>
      </c>
      <c r="H3" s="9" t="inlineStr">
        <is>
          <t>K (µM)</t>
        </is>
      </c>
      <c r="J3" s="9" t="inlineStr">
        <is>
          <t>Species</t>
        </is>
      </c>
      <c r="K3" s="9" t="inlineStr">
        <is>
          <t>Temp (°C)</t>
        </is>
      </c>
      <c r="L3" s="9" t="inlineStr">
        <is>
          <t>Troponin complex</t>
        </is>
      </c>
      <c r="M3" s="9" t="inlineStr">
        <is>
          <t>Bound Ca2+ measure</t>
        </is>
      </c>
      <c r="N3" s="9" t="inlineStr">
        <is>
          <t>Mg (mM)</t>
        </is>
      </c>
      <c r="O3" s="9" t="inlineStr">
        <is>
          <t>Kd (M^-1)</t>
        </is>
      </c>
      <c r="P3" s="9" t="inlineStr">
        <is>
          <t>K (µM)</t>
        </is>
      </c>
      <c r="R3" s="9" t="inlineStr">
        <is>
          <t>Species</t>
        </is>
      </c>
      <c r="S3" s="9" t="inlineStr">
        <is>
          <t>Temp (°C)</t>
        </is>
      </c>
      <c r="T3" s="9" t="inlineStr">
        <is>
          <t>Troponin complex</t>
        </is>
      </c>
      <c r="U3" s="9" t="inlineStr">
        <is>
          <t>Bound Ca2+ measure</t>
        </is>
      </c>
      <c r="V3" s="9" t="inlineStr">
        <is>
          <t>Mg (mM)</t>
        </is>
      </c>
      <c r="W3" s="9" t="inlineStr">
        <is>
          <t>Kd (M^-1)</t>
        </is>
      </c>
      <c r="X3" s="9" t="inlineStr">
        <is>
          <t>K (µM)</t>
        </is>
      </c>
      <c r="Y3" s="8" t="inlineStr">
        <is>
          <t>Auto /7</t>
        </is>
      </c>
      <c r="Z3" s="8" t="inlineStr">
        <is>
          <t>Your /7 (edit only if you disagree)</t>
        </is>
      </c>
      <c r="AA3" s="8" t="inlineStr">
        <is>
          <t>Final /7</t>
        </is>
      </c>
      <c r="AC3" t="inlineStr">
        <is>
          <t>norm(GT):Species</t>
        </is>
      </c>
      <c r="AD3" t="inlineStr">
        <is>
          <t>norm(GT):Temp (°C)</t>
        </is>
      </c>
      <c r="AE3" t="inlineStr">
        <is>
          <t>norm(GT):Troponin complex</t>
        </is>
      </c>
      <c r="AF3" t="inlineStr">
        <is>
          <t>norm(GT):Bound Ca2+ measure</t>
        </is>
      </c>
      <c r="AG3" t="inlineStr">
        <is>
          <t>norm(GT):Mg (mM)</t>
        </is>
      </c>
      <c r="AH3" t="inlineStr">
        <is>
          <t>norm(GT):Kd (M^-1)</t>
        </is>
      </c>
      <c r="AI3" t="inlineStr">
        <is>
          <t>norm(GT):K (µM)</t>
        </is>
      </c>
      <c r="AK3" t="inlineStr">
        <is>
          <t>norm(you):Species</t>
        </is>
      </c>
      <c r="AL3" t="inlineStr">
        <is>
          <t>norm(you):Temp (°C)</t>
        </is>
      </c>
      <c r="AM3" t="inlineStr">
        <is>
          <t>norm(you):Troponin complex</t>
        </is>
      </c>
      <c r="AN3" t="inlineStr">
        <is>
          <t>norm(you):Bound Ca2+ measure</t>
        </is>
      </c>
      <c r="AO3" t="inlineStr">
        <is>
          <t>norm(you):Mg (mM)</t>
        </is>
      </c>
      <c r="AP3" t="inlineStr">
        <is>
          <t>norm(you):Kd (M^-1)</t>
        </is>
      </c>
      <c r="AQ3" t="inlineStr">
        <is>
          <t>norm(you):K (µM)</t>
        </is>
      </c>
    </row>
    <row r="4">
      <c r="A4" s="10" t="n">
        <v>1</v>
      </c>
      <c r="B4" s="11" t="inlineStr">
        <is>
          <t>Bovine</t>
        </is>
      </c>
      <c r="C4" s="11" t="n">
        <v>4</v>
      </c>
      <c r="D4" s="11" t="inlineStr">
        <is>
          <t>TnC</t>
        </is>
      </c>
      <c r="E4" s="11" t="inlineStr">
        <is>
          <t>SC</t>
        </is>
      </c>
      <c r="F4" s="11" t="inlineStr">
        <is>
          <t>None</t>
        </is>
      </c>
      <c r="G4" s="11" t="inlineStr">
        <is>
          <t>2.5 x 10^5</t>
        </is>
      </c>
      <c r="H4" s="11" t="n">
        <v>4</v>
      </c>
      <c r="J4" s="12" t="n"/>
      <c r="K4" s="12" t="n"/>
      <c r="L4" s="12" t="n"/>
      <c r="M4" s="12" t="n"/>
      <c r="N4" s="12" t="n"/>
      <c r="O4" s="12" t="n"/>
      <c r="P4" s="12" t="n"/>
      <c r="R4" s="13">
        <f>IF(J4="",0,IF(EXACT($AC4,$AK4),1,IF(IFERROR(VALUE($AC4)=VALUE($AK4),FALSE),1,0)))</f>
        <v/>
      </c>
      <c r="S4" s="13">
        <f>IF(K4="",0,IF(EXACT($AD4,$AL4),1,IF(IFERROR(VALUE($AD4)=VALUE($AL4),FALSE),1,0)))</f>
        <v/>
      </c>
      <c r="T4" s="13">
        <f>IF(L4="",0,IF(EXACT($AE4,$AM4),1,IF(IFERROR(VALUE($AE4)=VALUE($AM4),FALSE),1,0)))</f>
        <v/>
      </c>
      <c r="U4" s="13">
        <f>IF(M4="",0,IF(EXACT($AF4,$AN4),1,IF(IFERROR(VALUE($AF4)=VALUE($AN4),FALSE),1,0)))</f>
        <v/>
      </c>
      <c r="V4" s="13">
        <f>IF(N4="",0,IF(EXACT($AG4,$AO4),1,IF(IFERROR(VALUE($AG4)=VALUE($AO4),FALSE),1,0)))</f>
        <v/>
      </c>
      <c r="W4" s="13">
        <f>IF(O4="",0,IF(EXACT($AH4,$AP4),1,IF(IFERROR(VALUE($AH4)=VALUE($AP4),FALSE),1,0)))</f>
        <v/>
      </c>
      <c r="X4" s="13">
        <f>IF(P4="",0,IF(EXACT($AI4,$AQ4),1,IF(IFERROR(VALUE($AI4)=VALUE($AQ4),FALSE),1,0)))</f>
        <v/>
      </c>
      <c r="Y4" s="13">
        <f>SUM(R4:X4)</f>
        <v/>
      </c>
      <c r="Z4" s="14" t="n"/>
      <c r="AA4" s="13">
        <f>IF(Z4="",Y4,Z4)</f>
        <v/>
      </c>
      <c r="AC4">
        <f>TRIM(SUBSTITUTE(SUBSTITUTE(SUBSTITUTE(SUBSTITUTE(SUBSTITUTE(SUBSTITUTE(SUBSTITUTE(SUBSTITUTE(SUBSTITUTE(SUBSTITUTE(SUBSTITUTE(SUBSTITUTE(SUBSTITUTE(LOWER(SUBSTITUTE(SUBSTITUTE(SUBSTITUTE(SUBSTITUTE(SUBSTITUTE(B4,"×","x"),"·",""),"−","-"),"–","-"),"^","")),"μ","u"),"µ","u")," ",""),"k1=",""),"k2=",""),"k3=",""),"kd=",""),"ka=",""),"k=",""),"°c",""),"m-1",""),"um",""),"mm",""))</f>
        <v/>
      </c>
      <c r="AD4">
        <f>TRIM(SUBSTITUTE(SUBSTITUTE(SUBSTITUTE(SUBSTITUTE(SUBSTITUTE(SUBSTITUTE(SUBSTITUTE(SUBSTITUTE(SUBSTITUTE(SUBSTITUTE(SUBSTITUTE(SUBSTITUTE(SUBSTITUTE(LOWER(SUBSTITUTE(SUBSTITUTE(SUBSTITUTE(SUBSTITUTE(SUBSTITUTE(C4,"×","x"),"·",""),"−","-"),"–","-"),"^","")),"μ","u"),"µ","u")," ",""),"k1=",""),"k2=",""),"k3=",""),"kd=",""),"ka=",""),"k=",""),"°c",""),"m-1",""),"um",""),"mm",""))</f>
        <v/>
      </c>
      <c r="AE4">
        <f>TRIM(SUBSTITUTE(SUBSTITUTE(SUBSTITUTE(SUBSTITUTE(SUBSTITUTE(SUBSTITUTE(SUBSTITUTE(SUBSTITUTE(SUBSTITUTE(SUBSTITUTE(SUBSTITUTE(SUBSTITUTE(SUBSTITUTE(LOWER(SUBSTITUTE(SUBSTITUTE(SUBSTITUTE(SUBSTITUTE(SUBSTITUTE(D4,"×","x"),"·",""),"−","-"),"–","-"),"^","")),"μ","u"),"µ","u")," ",""),"k1=",""),"k2=",""),"k3=",""),"kd=",""),"ka=",""),"k=",""),"°c",""),"m-1",""),"um",""),"mm",""))</f>
        <v/>
      </c>
      <c r="AF4">
        <f>TRIM(SUBSTITUTE(SUBSTITUTE(SUBSTITUTE(SUBSTITUTE(SUBSTITUTE(SUBSTITUTE(SUBSTITUTE(SUBSTITUTE(SUBSTITUTE(SUBSTITUTE(SUBSTITUTE(SUBSTITUTE(SUBSTITUTE(LOWER(SUBSTITUTE(SUBSTITUTE(SUBSTITUTE(SUBSTITUTE(SUBSTITUTE(E4,"×","x"),"·",""),"−","-"),"–","-"),"^","")),"μ","u"),"µ","u")," ",""),"k1=",""),"k2=",""),"k3=",""),"kd=",""),"ka=",""),"k=",""),"°c",""),"m-1",""),"um",""),"mm",""))</f>
        <v/>
      </c>
      <c r="AG4">
        <f>TRIM(SUBSTITUTE(SUBSTITUTE(SUBSTITUTE(SUBSTITUTE(SUBSTITUTE(SUBSTITUTE(SUBSTITUTE(SUBSTITUTE(SUBSTITUTE(SUBSTITUTE(SUBSTITUTE(SUBSTITUTE(SUBSTITUTE(LOWER(SUBSTITUTE(SUBSTITUTE(SUBSTITUTE(SUBSTITUTE(SUBSTITUTE(F4,"×","x"),"·",""),"−","-"),"–","-"),"^","")),"μ","u"),"µ","u")," ",""),"k1=",""),"k2=",""),"k3=",""),"kd=",""),"ka=",""),"k=",""),"°c",""),"m-1",""),"um",""),"mm",""))</f>
        <v/>
      </c>
      <c r="AH4">
        <f>TRIM(SUBSTITUTE(SUBSTITUTE(SUBSTITUTE(SUBSTITUTE(SUBSTITUTE(SUBSTITUTE(SUBSTITUTE(SUBSTITUTE(SUBSTITUTE(SUBSTITUTE(SUBSTITUTE(SUBSTITUTE(SUBSTITUTE(LOWER(SUBSTITUTE(SUBSTITUTE(SUBSTITUTE(SUBSTITUTE(SUBSTITUTE(G4,"×","x"),"·",""),"−","-"),"–","-"),"^","")),"μ","u"),"µ","u")," ",""),"k1=",""),"k2=",""),"k3=",""),"kd=",""),"ka=",""),"k=",""),"°c",""),"m-1",""),"um",""),"mm",""))</f>
        <v/>
      </c>
      <c r="AI4">
        <f>TRIM(SUBSTITUTE(SUBSTITUTE(SUBSTITUTE(SUBSTITUTE(SUBSTITUTE(SUBSTITUTE(SUBSTITUTE(SUBSTITUTE(SUBSTITUTE(SUBSTITUTE(SUBSTITUTE(SUBSTITUTE(SUBSTITUTE(LOWER(SUBSTITUTE(SUBSTITUTE(SUBSTITUTE(SUBSTITUTE(SUBSTITUTE(H4,"×","x"),"·",""),"−","-"),"–","-"),"^","")),"μ","u"),"µ","u")," ",""),"k1=",""),"k2=",""),"k3=",""),"kd=",""),"ka=",""),"k=",""),"°c",""),"m-1",""),"um",""),"mm",""))</f>
        <v/>
      </c>
      <c r="AK4">
        <f>TRIM(SUBSTITUTE(SUBSTITUTE(SUBSTITUTE(SUBSTITUTE(SUBSTITUTE(SUBSTITUTE(SUBSTITUTE(SUBSTITUTE(SUBSTITUTE(SUBSTITUTE(SUBSTITUTE(SUBSTITUTE(SUBSTITUTE(LOWER(SUBSTITUTE(SUBSTITUTE(SUBSTITUTE(SUBSTITUTE(SUBSTITUTE(J4,"×","x"),"·",""),"−","-"),"–","-"),"^","")),"μ","u"),"µ","u")," ",""),"k1=",""),"k2=",""),"k3=",""),"kd=",""),"ka=",""),"k=",""),"°c",""),"m-1",""),"um",""),"mm",""))</f>
        <v/>
      </c>
      <c r="AL4">
        <f>TRIM(SUBSTITUTE(SUBSTITUTE(SUBSTITUTE(SUBSTITUTE(SUBSTITUTE(SUBSTITUTE(SUBSTITUTE(SUBSTITUTE(SUBSTITUTE(SUBSTITUTE(SUBSTITUTE(SUBSTITUTE(SUBSTITUTE(LOWER(SUBSTITUTE(SUBSTITUTE(SUBSTITUTE(SUBSTITUTE(SUBSTITUTE(K4,"×","x"),"·",""),"−","-"),"–","-"),"^","")),"μ","u"),"µ","u")," ",""),"k1=",""),"k2=",""),"k3=",""),"kd=",""),"ka=",""),"k=",""),"°c",""),"m-1",""),"um",""),"mm",""))</f>
        <v/>
      </c>
      <c r="AM4">
        <f>TRIM(SUBSTITUTE(SUBSTITUTE(SUBSTITUTE(SUBSTITUTE(SUBSTITUTE(SUBSTITUTE(SUBSTITUTE(SUBSTITUTE(SUBSTITUTE(SUBSTITUTE(SUBSTITUTE(SUBSTITUTE(SUBSTITUTE(LOWER(SUBSTITUTE(SUBSTITUTE(SUBSTITUTE(SUBSTITUTE(SUBSTITUTE(L4,"×","x"),"·",""),"−","-"),"–","-"),"^","")),"μ","u"),"µ","u")," ",""),"k1=",""),"k2=",""),"k3=",""),"kd=",""),"ka=",""),"k=",""),"°c",""),"m-1",""),"um",""),"mm",""))</f>
        <v/>
      </c>
      <c r="AN4">
        <f>TRIM(SUBSTITUTE(SUBSTITUTE(SUBSTITUTE(SUBSTITUTE(SUBSTITUTE(SUBSTITUTE(SUBSTITUTE(SUBSTITUTE(SUBSTITUTE(SUBSTITUTE(SUBSTITUTE(SUBSTITUTE(SUBSTITUTE(LOWER(SUBSTITUTE(SUBSTITUTE(SUBSTITUTE(SUBSTITUTE(SUBSTITUTE(M4,"×","x"),"·",""),"−","-"),"–","-"),"^","")),"μ","u"),"µ","u")," ",""),"k1=",""),"k2=",""),"k3=",""),"kd=",""),"ka=",""),"k=",""),"°c",""),"m-1",""),"um",""),"mm",""))</f>
        <v/>
      </c>
      <c r="AO4">
        <f>TRIM(SUBSTITUTE(SUBSTITUTE(SUBSTITUTE(SUBSTITUTE(SUBSTITUTE(SUBSTITUTE(SUBSTITUTE(SUBSTITUTE(SUBSTITUTE(SUBSTITUTE(SUBSTITUTE(SUBSTITUTE(SUBSTITUTE(LOWER(SUBSTITUTE(SUBSTITUTE(SUBSTITUTE(SUBSTITUTE(SUBSTITUTE(N4,"×","x"),"·",""),"−","-"),"–","-"),"^","")),"μ","u"),"µ","u")," ",""),"k1=",""),"k2=",""),"k3=",""),"kd=",""),"ka=",""),"k=",""),"°c",""),"m-1",""),"um",""),"mm",""))</f>
        <v/>
      </c>
      <c r="AP4">
        <f>TRIM(SUBSTITUTE(SUBSTITUTE(SUBSTITUTE(SUBSTITUTE(SUBSTITUTE(SUBSTITUTE(SUBSTITUTE(SUBSTITUTE(SUBSTITUTE(SUBSTITUTE(SUBSTITUTE(SUBSTITUTE(SUBSTITUTE(LOWER(SUBSTITUTE(SUBSTITUTE(SUBSTITUTE(SUBSTITUTE(SUBSTITUTE(O4,"×","x"),"·",""),"−","-"),"–","-"),"^","")),"μ","u"),"µ","u")," ",""),"k1=",""),"k2=",""),"k3=",""),"kd=",""),"ka=",""),"k=",""),"°c",""),"m-1",""),"um",""),"mm",""))</f>
        <v/>
      </c>
      <c r="AQ4">
        <f>TRIM(SUBSTITUTE(SUBSTITUTE(SUBSTITUTE(SUBSTITUTE(SUBSTITUTE(SUBSTITUTE(SUBSTITUTE(SUBSTITUTE(SUBSTITUTE(SUBSTITUTE(SUBSTITUTE(SUBSTITUTE(SUBSTITUTE(LOWER(SUBSTITUTE(SUBSTITUTE(SUBSTITUTE(SUBSTITUTE(SUBSTITUTE(P4,"×","x"),"·",""),"−","-"),"–","-"),"^","")),"μ","u"),"µ","u")," ",""),"k1=",""),"k2=",""),"k3=",""),"kd=",""),"ka=",""),"k=",""),"°c",""),"m-1",""),"um",""),"mm",""))</f>
        <v/>
      </c>
    </row>
    <row r="5">
      <c r="A5" s="10" t="n">
        <v>2</v>
      </c>
      <c r="B5" s="11" t="inlineStr">
        <is>
          <t>Bovine</t>
        </is>
      </c>
      <c r="C5" s="11" t="n">
        <v>4</v>
      </c>
      <c r="D5" s="11" t="inlineStr">
        <is>
          <t>TnC</t>
        </is>
      </c>
      <c r="E5" s="11" t="inlineStr">
        <is>
          <t>SC</t>
        </is>
      </c>
      <c r="F5" s="11" t="n">
        <v>4</v>
      </c>
      <c r="G5" s="11" t="inlineStr">
        <is>
          <t>2.5 x 10^5</t>
        </is>
      </c>
      <c r="H5" s="11" t="n">
        <v>4</v>
      </c>
      <c r="J5" s="12" t="n"/>
      <c r="K5" s="12" t="n"/>
      <c r="L5" s="12" t="n"/>
      <c r="M5" s="12" t="n"/>
      <c r="N5" s="12" t="n"/>
      <c r="O5" s="12" t="n"/>
      <c r="P5" s="12" t="n"/>
      <c r="R5" s="13">
        <f>IF(J5="",0,IF(EXACT($AC5,$AK5),1,IF(IFERROR(VALUE($AC5)=VALUE($AK5),FALSE),1,0)))</f>
        <v/>
      </c>
      <c r="S5" s="13">
        <f>IF(K5="",0,IF(EXACT($AD5,$AL5),1,IF(IFERROR(VALUE($AD5)=VALUE($AL5),FALSE),1,0)))</f>
        <v/>
      </c>
      <c r="T5" s="13">
        <f>IF(L5="",0,IF(EXACT($AE5,$AM5),1,IF(IFERROR(VALUE($AE5)=VALUE($AM5),FALSE),1,0)))</f>
        <v/>
      </c>
      <c r="U5" s="13">
        <f>IF(M5="",0,IF(EXACT($AF5,$AN5),1,IF(IFERROR(VALUE($AF5)=VALUE($AN5),FALSE),1,0)))</f>
        <v/>
      </c>
      <c r="V5" s="13">
        <f>IF(N5="",0,IF(EXACT($AG5,$AO5),1,IF(IFERROR(VALUE($AG5)=VALUE($AO5),FALSE),1,0)))</f>
        <v/>
      </c>
      <c r="W5" s="13">
        <f>IF(O5="",0,IF(EXACT($AH5,$AP5),1,IF(IFERROR(VALUE($AH5)=VALUE($AP5),FALSE),1,0)))</f>
        <v/>
      </c>
      <c r="X5" s="13">
        <f>IF(P5="",0,IF(EXACT($AI5,$AQ5),1,IF(IFERROR(VALUE($AI5)=VALUE($AQ5),FALSE),1,0)))</f>
        <v/>
      </c>
      <c r="Y5" s="13">
        <f>SUM(R5:X5)</f>
        <v/>
      </c>
      <c r="Z5" s="14" t="n"/>
      <c r="AA5" s="13">
        <f>IF(Z5="",Y5,Z5)</f>
        <v/>
      </c>
      <c r="AC5">
        <f>TRIM(SUBSTITUTE(SUBSTITUTE(SUBSTITUTE(SUBSTITUTE(SUBSTITUTE(SUBSTITUTE(SUBSTITUTE(SUBSTITUTE(SUBSTITUTE(SUBSTITUTE(SUBSTITUTE(SUBSTITUTE(SUBSTITUTE(LOWER(SUBSTITUTE(SUBSTITUTE(SUBSTITUTE(SUBSTITUTE(SUBSTITUTE(B5,"×","x"),"·",""),"−","-"),"–","-"),"^","")),"μ","u"),"µ","u")," ",""),"k1=",""),"k2=",""),"k3=",""),"kd=",""),"ka=",""),"k=",""),"°c",""),"m-1",""),"um",""),"mm",""))</f>
        <v/>
      </c>
      <c r="AD5">
        <f>TRIM(SUBSTITUTE(SUBSTITUTE(SUBSTITUTE(SUBSTITUTE(SUBSTITUTE(SUBSTITUTE(SUBSTITUTE(SUBSTITUTE(SUBSTITUTE(SUBSTITUTE(SUBSTITUTE(SUBSTITUTE(SUBSTITUTE(LOWER(SUBSTITUTE(SUBSTITUTE(SUBSTITUTE(SUBSTITUTE(SUBSTITUTE(C5,"×","x"),"·",""),"−","-"),"–","-"),"^","")),"μ","u"),"µ","u")," ",""),"k1=",""),"k2=",""),"k3=",""),"kd=",""),"ka=",""),"k=",""),"°c",""),"m-1",""),"um",""),"mm",""))</f>
        <v/>
      </c>
      <c r="AE5">
        <f>TRIM(SUBSTITUTE(SUBSTITUTE(SUBSTITUTE(SUBSTITUTE(SUBSTITUTE(SUBSTITUTE(SUBSTITUTE(SUBSTITUTE(SUBSTITUTE(SUBSTITUTE(SUBSTITUTE(SUBSTITUTE(SUBSTITUTE(LOWER(SUBSTITUTE(SUBSTITUTE(SUBSTITUTE(SUBSTITUTE(SUBSTITUTE(D5,"×","x"),"·",""),"−","-"),"–","-"),"^","")),"μ","u"),"µ","u")," ",""),"k1=",""),"k2=",""),"k3=",""),"kd=",""),"ka=",""),"k=",""),"°c",""),"m-1",""),"um",""),"mm",""))</f>
        <v/>
      </c>
      <c r="AF5">
        <f>TRIM(SUBSTITUTE(SUBSTITUTE(SUBSTITUTE(SUBSTITUTE(SUBSTITUTE(SUBSTITUTE(SUBSTITUTE(SUBSTITUTE(SUBSTITUTE(SUBSTITUTE(SUBSTITUTE(SUBSTITUTE(SUBSTITUTE(LOWER(SUBSTITUTE(SUBSTITUTE(SUBSTITUTE(SUBSTITUTE(SUBSTITUTE(E5,"×","x"),"·",""),"−","-"),"–","-"),"^","")),"μ","u"),"µ","u")," ",""),"k1=",""),"k2=",""),"k3=",""),"kd=",""),"ka=",""),"k=",""),"°c",""),"m-1",""),"um",""),"mm",""))</f>
        <v/>
      </c>
      <c r="AG5">
        <f>TRIM(SUBSTITUTE(SUBSTITUTE(SUBSTITUTE(SUBSTITUTE(SUBSTITUTE(SUBSTITUTE(SUBSTITUTE(SUBSTITUTE(SUBSTITUTE(SUBSTITUTE(SUBSTITUTE(SUBSTITUTE(SUBSTITUTE(LOWER(SUBSTITUTE(SUBSTITUTE(SUBSTITUTE(SUBSTITUTE(SUBSTITUTE(F5,"×","x"),"·",""),"−","-"),"–","-"),"^","")),"μ","u"),"µ","u")," ",""),"k1=",""),"k2=",""),"k3=",""),"kd=",""),"ka=",""),"k=",""),"°c",""),"m-1",""),"um",""),"mm",""))</f>
        <v/>
      </c>
      <c r="AH5">
        <f>TRIM(SUBSTITUTE(SUBSTITUTE(SUBSTITUTE(SUBSTITUTE(SUBSTITUTE(SUBSTITUTE(SUBSTITUTE(SUBSTITUTE(SUBSTITUTE(SUBSTITUTE(SUBSTITUTE(SUBSTITUTE(SUBSTITUTE(LOWER(SUBSTITUTE(SUBSTITUTE(SUBSTITUTE(SUBSTITUTE(SUBSTITUTE(G5,"×","x"),"·",""),"−","-"),"–","-"),"^","")),"μ","u"),"µ","u")," ",""),"k1=",""),"k2=",""),"k3=",""),"kd=",""),"ka=",""),"k=",""),"°c",""),"m-1",""),"um",""),"mm",""))</f>
        <v/>
      </c>
      <c r="AI5">
        <f>TRIM(SUBSTITUTE(SUBSTITUTE(SUBSTITUTE(SUBSTITUTE(SUBSTITUTE(SUBSTITUTE(SUBSTITUTE(SUBSTITUTE(SUBSTITUTE(SUBSTITUTE(SUBSTITUTE(SUBSTITUTE(SUBSTITUTE(LOWER(SUBSTITUTE(SUBSTITUTE(SUBSTITUTE(SUBSTITUTE(SUBSTITUTE(H5,"×","x"),"·",""),"−","-"),"–","-"),"^","")),"μ","u"),"µ","u")," ",""),"k1=",""),"k2=",""),"k3=",""),"kd=",""),"ka=",""),"k=",""),"°c",""),"m-1",""),"um",""),"mm",""))</f>
        <v/>
      </c>
      <c r="AK5">
        <f>TRIM(SUBSTITUTE(SUBSTITUTE(SUBSTITUTE(SUBSTITUTE(SUBSTITUTE(SUBSTITUTE(SUBSTITUTE(SUBSTITUTE(SUBSTITUTE(SUBSTITUTE(SUBSTITUTE(SUBSTITUTE(SUBSTITUTE(LOWER(SUBSTITUTE(SUBSTITUTE(SUBSTITUTE(SUBSTITUTE(SUBSTITUTE(J5,"×","x"),"·",""),"−","-"),"–","-"),"^","")),"μ","u"),"µ","u")," ",""),"k1=",""),"k2=",""),"k3=",""),"kd=",""),"ka=",""),"k=",""),"°c",""),"m-1",""),"um",""),"mm",""))</f>
        <v/>
      </c>
      <c r="AL5">
        <f>TRIM(SUBSTITUTE(SUBSTITUTE(SUBSTITUTE(SUBSTITUTE(SUBSTITUTE(SUBSTITUTE(SUBSTITUTE(SUBSTITUTE(SUBSTITUTE(SUBSTITUTE(SUBSTITUTE(SUBSTITUTE(SUBSTITUTE(LOWER(SUBSTITUTE(SUBSTITUTE(SUBSTITUTE(SUBSTITUTE(SUBSTITUTE(K5,"×","x"),"·",""),"−","-"),"–","-"),"^","")),"μ","u"),"µ","u")," ",""),"k1=",""),"k2=",""),"k3=",""),"kd=",""),"ka=",""),"k=",""),"°c",""),"m-1",""),"um",""),"mm",""))</f>
        <v/>
      </c>
      <c r="AM5">
        <f>TRIM(SUBSTITUTE(SUBSTITUTE(SUBSTITUTE(SUBSTITUTE(SUBSTITUTE(SUBSTITUTE(SUBSTITUTE(SUBSTITUTE(SUBSTITUTE(SUBSTITUTE(SUBSTITUTE(SUBSTITUTE(SUBSTITUTE(LOWER(SUBSTITUTE(SUBSTITUTE(SUBSTITUTE(SUBSTITUTE(SUBSTITUTE(L5,"×","x"),"·",""),"−","-"),"–","-"),"^","")),"μ","u"),"µ","u")," ",""),"k1=",""),"k2=",""),"k3=",""),"kd=",""),"ka=",""),"k=",""),"°c",""),"m-1",""),"um",""),"mm",""))</f>
        <v/>
      </c>
      <c r="AN5">
        <f>TRIM(SUBSTITUTE(SUBSTITUTE(SUBSTITUTE(SUBSTITUTE(SUBSTITUTE(SUBSTITUTE(SUBSTITUTE(SUBSTITUTE(SUBSTITUTE(SUBSTITUTE(SUBSTITUTE(SUBSTITUTE(SUBSTITUTE(LOWER(SUBSTITUTE(SUBSTITUTE(SUBSTITUTE(SUBSTITUTE(SUBSTITUTE(M5,"×","x"),"·",""),"−","-"),"–","-"),"^","")),"μ","u"),"µ","u")," ",""),"k1=",""),"k2=",""),"k3=",""),"kd=",""),"ka=",""),"k=",""),"°c",""),"m-1",""),"um",""),"mm",""))</f>
        <v/>
      </c>
      <c r="AO5">
        <f>TRIM(SUBSTITUTE(SUBSTITUTE(SUBSTITUTE(SUBSTITUTE(SUBSTITUTE(SUBSTITUTE(SUBSTITUTE(SUBSTITUTE(SUBSTITUTE(SUBSTITUTE(SUBSTITUTE(SUBSTITUTE(SUBSTITUTE(LOWER(SUBSTITUTE(SUBSTITUTE(SUBSTITUTE(SUBSTITUTE(SUBSTITUTE(N5,"×","x"),"·",""),"−","-"),"–","-"),"^","")),"μ","u"),"µ","u")," ",""),"k1=",""),"k2=",""),"k3=",""),"kd=",""),"ka=",""),"k=",""),"°c",""),"m-1",""),"um",""),"mm",""))</f>
        <v/>
      </c>
      <c r="AP5">
        <f>TRIM(SUBSTITUTE(SUBSTITUTE(SUBSTITUTE(SUBSTITUTE(SUBSTITUTE(SUBSTITUTE(SUBSTITUTE(SUBSTITUTE(SUBSTITUTE(SUBSTITUTE(SUBSTITUTE(SUBSTITUTE(SUBSTITUTE(LOWER(SUBSTITUTE(SUBSTITUTE(SUBSTITUTE(SUBSTITUTE(SUBSTITUTE(O5,"×","x"),"·",""),"−","-"),"–","-"),"^","")),"μ","u"),"µ","u")," ",""),"k1=",""),"k2=",""),"k3=",""),"kd=",""),"ka=",""),"k=",""),"°c",""),"m-1",""),"um",""),"mm",""))</f>
        <v/>
      </c>
      <c r="AQ5">
        <f>TRIM(SUBSTITUTE(SUBSTITUTE(SUBSTITUTE(SUBSTITUTE(SUBSTITUTE(SUBSTITUTE(SUBSTITUTE(SUBSTITUTE(SUBSTITUTE(SUBSTITUTE(SUBSTITUTE(SUBSTITUTE(SUBSTITUTE(LOWER(SUBSTITUTE(SUBSTITUTE(SUBSTITUTE(SUBSTITUTE(SUBSTITUTE(P5,"×","x"),"·",""),"−","-"),"–","-"),"^","")),"μ","u"),"µ","u")," ",""),"k1=",""),"k2=",""),"k3=",""),"kd=",""),"ka=",""),"k=",""),"°c",""),"m-1",""),"um",""),"mm",""))</f>
        <v/>
      </c>
    </row>
    <row r="6">
      <c r="A6" s="10" t="n">
        <v>3</v>
      </c>
      <c r="B6" s="11" t="inlineStr">
        <is>
          <t>Bovine</t>
        </is>
      </c>
      <c r="C6" s="11" t="n">
        <v>4</v>
      </c>
      <c r="D6" s="11" t="inlineStr">
        <is>
          <t>TnC-TnI</t>
        </is>
      </c>
      <c r="E6" s="11" t="inlineStr">
        <is>
          <t>SC</t>
        </is>
      </c>
      <c r="F6" s="11" t="n">
        <v>4</v>
      </c>
      <c r="G6" s="11" t="inlineStr">
        <is>
          <t>1 x 10^6</t>
        </is>
      </c>
      <c r="H6" s="11" t="n">
        <v>1</v>
      </c>
      <c r="J6" s="12" t="n"/>
      <c r="K6" s="12" t="n"/>
      <c r="L6" s="12" t="n"/>
      <c r="M6" s="12" t="n"/>
      <c r="N6" s="12" t="n"/>
      <c r="O6" s="12" t="n"/>
      <c r="P6" s="12" t="n"/>
      <c r="R6" s="13">
        <f>IF(J6="",0,IF(EXACT($AC6,$AK6),1,IF(IFERROR(VALUE($AC6)=VALUE($AK6),FALSE),1,0)))</f>
        <v/>
      </c>
      <c r="S6" s="13">
        <f>IF(K6="",0,IF(EXACT($AD6,$AL6),1,IF(IFERROR(VALUE($AD6)=VALUE($AL6),FALSE),1,0)))</f>
        <v/>
      </c>
      <c r="T6" s="13">
        <f>IF(L6="",0,IF(EXACT($AE6,$AM6),1,IF(IFERROR(VALUE($AE6)=VALUE($AM6),FALSE),1,0)))</f>
        <v/>
      </c>
      <c r="U6" s="13">
        <f>IF(M6="",0,IF(EXACT($AF6,$AN6),1,IF(IFERROR(VALUE($AF6)=VALUE($AN6),FALSE),1,0)))</f>
        <v/>
      </c>
      <c r="V6" s="13">
        <f>IF(N6="",0,IF(EXACT($AG6,$AO6),1,IF(IFERROR(VALUE($AG6)=VALUE($AO6),FALSE),1,0)))</f>
        <v/>
      </c>
      <c r="W6" s="13">
        <f>IF(O6="",0,IF(EXACT($AH6,$AP6),1,IF(IFERROR(VALUE($AH6)=VALUE($AP6),FALSE),1,0)))</f>
        <v/>
      </c>
      <c r="X6" s="13">
        <f>IF(P6="",0,IF(EXACT($AI6,$AQ6),1,IF(IFERROR(VALUE($AI6)=VALUE($AQ6),FALSE),1,0)))</f>
        <v/>
      </c>
      <c r="Y6" s="13">
        <f>SUM(R6:X6)</f>
        <v/>
      </c>
      <c r="Z6" s="14" t="n"/>
      <c r="AA6" s="13">
        <f>IF(Z6="",Y6,Z6)</f>
        <v/>
      </c>
      <c r="AC6">
        <f>TRIM(SUBSTITUTE(SUBSTITUTE(SUBSTITUTE(SUBSTITUTE(SUBSTITUTE(SUBSTITUTE(SUBSTITUTE(SUBSTITUTE(SUBSTITUTE(SUBSTITUTE(SUBSTITUTE(SUBSTITUTE(SUBSTITUTE(LOWER(SUBSTITUTE(SUBSTITUTE(SUBSTITUTE(SUBSTITUTE(SUBSTITUTE(B6,"×","x"),"·",""),"−","-"),"–","-"),"^","")),"μ","u"),"µ","u")," ",""),"k1=",""),"k2=",""),"k3=",""),"kd=",""),"ka=",""),"k=",""),"°c",""),"m-1",""),"um",""),"mm",""))</f>
        <v/>
      </c>
      <c r="AD6">
        <f>TRIM(SUBSTITUTE(SUBSTITUTE(SUBSTITUTE(SUBSTITUTE(SUBSTITUTE(SUBSTITUTE(SUBSTITUTE(SUBSTITUTE(SUBSTITUTE(SUBSTITUTE(SUBSTITUTE(SUBSTITUTE(SUBSTITUTE(LOWER(SUBSTITUTE(SUBSTITUTE(SUBSTITUTE(SUBSTITUTE(SUBSTITUTE(C6,"×","x"),"·",""),"−","-"),"–","-"),"^","")),"μ","u"),"µ","u")," ",""),"k1=",""),"k2=",""),"k3=",""),"kd=",""),"ka=",""),"k=",""),"°c",""),"m-1",""),"um",""),"mm",""))</f>
        <v/>
      </c>
      <c r="AE6">
        <f>TRIM(SUBSTITUTE(SUBSTITUTE(SUBSTITUTE(SUBSTITUTE(SUBSTITUTE(SUBSTITUTE(SUBSTITUTE(SUBSTITUTE(SUBSTITUTE(SUBSTITUTE(SUBSTITUTE(SUBSTITUTE(SUBSTITUTE(LOWER(SUBSTITUTE(SUBSTITUTE(SUBSTITUTE(SUBSTITUTE(SUBSTITUTE(D6,"×","x"),"·",""),"−","-"),"–","-"),"^","")),"μ","u"),"µ","u")," ",""),"k1=",""),"k2=",""),"k3=",""),"kd=",""),"ka=",""),"k=",""),"°c",""),"m-1",""),"um",""),"mm",""))</f>
        <v/>
      </c>
      <c r="AF6">
        <f>TRIM(SUBSTITUTE(SUBSTITUTE(SUBSTITUTE(SUBSTITUTE(SUBSTITUTE(SUBSTITUTE(SUBSTITUTE(SUBSTITUTE(SUBSTITUTE(SUBSTITUTE(SUBSTITUTE(SUBSTITUTE(SUBSTITUTE(LOWER(SUBSTITUTE(SUBSTITUTE(SUBSTITUTE(SUBSTITUTE(SUBSTITUTE(E6,"×","x"),"·",""),"−","-"),"–","-"),"^","")),"μ","u"),"µ","u")," ",""),"k1=",""),"k2=",""),"k3=",""),"kd=",""),"ka=",""),"k=",""),"°c",""),"m-1",""),"um",""),"mm",""))</f>
        <v/>
      </c>
      <c r="AG6">
        <f>TRIM(SUBSTITUTE(SUBSTITUTE(SUBSTITUTE(SUBSTITUTE(SUBSTITUTE(SUBSTITUTE(SUBSTITUTE(SUBSTITUTE(SUBSTITUTE(SUBSTITUTE(SUBSTITUTE(SUBSTITUTE(SUBSTITUTE(LOWER(SUBSTITUTE(SUBSTITUTE(SUBSTITUTE(SUBSTITUTE(SUBSTITUTE(F6,"×","x"),"·",""),"−","-"),"–","-"),"^","")),"μ","u"),"µ","u")," ",""),"k1=",""),"k2=",""),"k3=",""),"kd=",""),"ka=",""),"k=",""),"°c",""),"m-1",""),"um",""),"mm",""))</f>
        <v/>
      </c>
      <c r="AH6">
        <f>TRIM(SUBSTITUTE(SUBSTITUTE(SUBSTITUTE(SUBSTITUTE(SUBSTITUTE(SUBSTITUTE(SUBSTITUTE(SUBSTITUTE(SUBSTITUTE(SUBSTITUTE(SUBSTITUTE(SUBSTITUTE(SUBSTITUTE(LOWER(SUBSTITUTE(SUBSTITUTE(SUBSTITUTE(SUBSTITUTE(SUBSTITUTE(G6,"×","x"),"·",""),"−","-"),"–","-"),"^","")),"μ","u"),"µ","u")," ",""),"k1=",""),"k2=",""),"k3=",""),"kd=",""),"ka=",""),"k=",""),"°c",""),"m-1",""),"um",""),"mm",""))</f>
        <v/>
      </c>
      <c r="AI6">
        <f>TRIM(SUBSTITUTE(SUBSTITUTE(SUBSTITUTE(SUBSTITUTE(SUBSTITUTE(SUBSTITUTE(SUBSTITUTE(SUBSTITUTE(SUBSTITUTE(SUBSTITUTE(SUBSTITUTE(SUBSTITUTE(SUBSTITUTE(LOWER(SUBSTITUTE(SUBSTITUTE(SUBSTITUTE(SUBSTITUTE(SUBSTITUTE(H6,"×","x"),"·",""),"−","-"),"–","-"),"^","")),"μ","u"),"µ","u")," ",""),"k1=",""),"k2=",""),"k3=",""),"kd=",""),"ka=",""),"k=",""),"°c",""),"m-1",""),"um",""),"mm",""))</f>
        <v/>
      </c>
      <c r="AK6">
        <f>TRIM(SUBSTITUTE(SUBSTITUTE(SUBSTITUTE(SUBSTITUTE(SUBSTITUTE(SUBSTITUTE(SUBSTITUTE(SUBSTITUTE(SUBSTITUTE(SUBSTITUTE(SUBSTITUTE(SUBSTITUTE(SUBSTITUTE(LOWER(SUBSTITUTE(SUBSTITUTE(SUBSTITUTE(SUBSTITUTE(SUBSTITUTE(J6,"×","x"),"·",""),"−","-"),"–","-"),"^","")),"μ","u"),"µ","u")," ",""),"k1=",""),"k2=",""),"k3=",""),"kd=",""),"ka=",""),"k=",""),"°c",""),"m-1",""),"um",""),"mm",""))</f>
        <v/>
      </c>
      <c r="AL6">
        <f>TRIM(SUBSTITUTE(SUBSTITUTE(SUBSTITUTE(SUBSTITUTE(SUBSTITUTE(SUBSTITUTE(SUBSTITUTE(SUBSTITUTE(SUBSTITUTE(SUBSTITUTE(SUBSTITUTE(SUBSTITUTE(SUBSTITUTE(LOWER(SUBSTITUTE(SUBSTITUTE(SUBSTITUTE(SUBSTITUTE(SUBSTITUTE(K6,"×","x"),"·",""),"−","-"),"–","-"),"^","")),"μ","u"),"µ","u")," ",""),"k1=",""),"k2=",""),"k3=",""),"kd=",""),"ka=",""),"k=",""),"°c",""),"m-1",""),"um",""),"mm",""))</f>
        <v/>
      </c>
      <c r="AM6">
        <f>TRIM(SUBSTITUTE(SUBSTITUTE(SUBSTITUTE(SUBSTITUTE(SUBSTITUTE(SUBSTITUTE(SUBSTITUTE(SUBSTITUTE(SUBSTITUTE(SUBSTITUTE(SUBSTITUTE(SUBSTITUTE(SUBSTITUTE(LOWER(SUBSTITUTE(SUBSTITUTE(SUBSTITUTE(SUBSTITUTE(SUBSTITUTE(L6,"×","x"),"·",""),"−","-"),"–","-"),"^","")),"μ","u"),"µ","u")," ",""),"k1=",""),"k2=",""),"k3=",""),"kd=",""),"ka=",""),"k=",""),"°c",""),"m-1",""),"um",""),"mm",""))</f>
        <v/>
      </c>
      <c r="AN6">
        <f>TRIM(SUBSTITUTE(SUBSTITUTE(SUBSTITUTE(SUBSTITUTE(SUBSTITUTE(SUBSTITUTE(SUBSTITUTE(SUBSTITUTE(SUBSTITUTE(SUBSTITUTE(SUBSTITUTE(SUBSTITUTE(SUBSTITUTE(LOWER(SUBSTITUTE(SUBSTITUTE(SUBSTITUTE(SUBSTITUTE(SUBSTITUTE(M6,"×","x"),"·",""),"−","-"),"–","-"),"^","")),"μ","u"),"µ","u")," ",""),"k1=",""),"k2=",""),"k3=",""),"kd=",""),"ka=",""),"k=",""),"°c",""),"m-1",""),"um",""),"mm",""))</f>
        <v/>
      </c>
      <c r="AO6">
        <f>TRIM(SUBSTITUTE(SUBSTITUTE(SUBSTITUTE(SUBSTITUTE(SUBSTITUTE(SUBSTITUTE(SUBSTITUTE(SUBSTITUTE(SUBSTITUTE(SUBSTITUTE(SUBSTITUTE(SUBSTITUTE(SUBSTITUTE(LOWER(SUBSTITUTE(SUBSTITUTE(SUBSTITUTE(SUBSTITUTE(SUBSTITUTE(N6,"×","x"),"·",""),"−","-"),"–","-"),"^","")),"μ","u"),"µ","u")," ",""),"k1=",""),"k2=",""),"k3=",""),"kd=",""),"ka=",""),"k=",""),"°c",""),"m-1",""),"um",""),"mm",""))</f>
        <v/>
      </c>
      <c r="AP6">
        <f>TRIM(SUBSTITUTE(SUBSTITUTE(SUBSTITUTE(SUBSTITUTE(SUBSTITUTE(SUBSTITUTE(SUBSTITUTE(SUBSTITUTE(SUBSTITUTE(SUBSTITUTE(SUBSTITUTE(SUBSTITUTE(SUBSTITUTE(LOWER(SUBSTITUTE(SUBSTITUTE(SUBSTITUTE(SUBSTITUTE(SUBSTITUTE(O6,"×","x"),"·",""),"−","-"),"–","-"),"^","")),"μ","u"),"µ","u")," ",""),"k1=",""),"k2=",""),"k3=",""),"kd=",""),"ka=",""),"k=",""),"°c",""),"m-1",""),"um",""),"mm",""))</f>
        <v/>
      </c>
      <c r="AQ6">
        <f>TRIM(SUBSTITUTE(SUBSTITUTE(SUBSTITUTE(SUBSTITUTE(SUBSTITUTE(SUBSTITUTE(SUBSTITUTE(SUBSTITUTE(SUBSTITUTE(SUBSTITUTE(SUBSTITUTE(SUBSTITUTE(SUBSTITUTE(LOWER(SUBSTITUTE(SUBSTITUTE(SUBSTITUTE(SUBSTITUTE(SUBSTITUTE(P6,"×","x"),"·",""),"−","-"),"–","-"),"^","")),"μ","u"),"µ","u")," ",""),"k1=",""),"k2=",""),"k3=",""),"kd=",""),"ka=",""),"k=",""),"°c",""),"m-1",""),"um",""),"mm",""))</f>
        <v/>
      </c>
    </row>
    <row r="7">
      <c r="A7" s="10" t="n">
        <v>4</v>
      </c>
      <c r="B7" s="11" t="inlineStr">
        <is>
          <t>Bovine</t>
        </is>
      </c>
      <c r="C7" s="11" t="n">
        <v>4</v>
      </c>
      <c r="D7" s="11" t="inlineStr">
        <is>
          <t>TnC-TnI</t>
        </is>
      </c>
      <c r="E7" s="11" t="inlineStr">
        <is>
          <t>SC</t>
        </is>
      </c>
      <c r="F7" s="11" t="inlineStr">
        <is>
          <t>None</t>
        </is>
      </c>
      <c r="G7" s="11" t="inlineStr">
        <is>
          <t>1 x 10^6</t>
        </is>
      </c>
      <c r="H7" s="11" t="n">
        <v>1</v>
      </c>
      <c r="J7" s="12" t="n"/>
      <c r="K7" s="12" t="n"/>
      <c r="L7" s="12" t="n"/>
      <c r="M7" s="12" t="n"/>
      <c r="N7" s="12" t="n"/>
      <c r="O7" s="12" t="n"/>
      <c r="P7" s="12" t="n"/>
      <c r="R7" s="13">
        <f>IF(J7="",0,IF(EXACT($AC7,$AK7),1,IF(IFERROR(VALUE($AC7)=VALUE($AK7),FALSE),1,0)))</f>
        <v/>
      </c>
      <c r="S7" s="13">
        <f>IF(K7="",0,IF(EXACT($AD7,$AL7),1,IF(IFERROR(VALUE($AD7)=VALUE($AL7),FALSE),1,0)))</f>
        <v/>
      </c>
      <c r="T7" s="13">
        <f>IF(L7="",0,IF(EXACT($AE7,$AM7),1,IF(IFERROR(VALUE($AE7)=VALUE($AM7),FALSE),1,0)))</f>
        <v/>
      </c>
      <c r="U7" s="13">
        <f>IF(M7="",0,IF(EXACT($AF7,$AN7),1,IF(IFERROR(VALUE($AF7)=VALUE($AN7),FALSE),1,0)))</f>
        <v/>
      </c>
      <c r="V7" s="13">
        <f>IF(N7="",0,IF(EXACT($AG7,$AO7),1,IF(IFERROR(VALUE($AG7)=VALUE($AO7),FALSE),1,0)))</f>
        <v/>
      </c>
      <c r="W7" s="13">
        <f>IF(O7="",0,IF(EXACT($AH7,$AP7),1,IF(IFERROR(VALUE($AH7)=VALUE($AP7),FALSE),1,0)))</f>
        <v/>
      </c>
      <c r="X7" s="13">
        <f>IF(P7="",0,IF(EXACT($AI7,$AQ7),1,IF(IFERROR(VALUE($AI7)=VALUE($AQ7),FALSE),1,0)))</f>
        <v/>
      </c>
      <c r="Y7" s="13">
        <f>SUM(R7:X7)</f>
        <v/>
      </c>
      <c r="Z7" s="14" t="n"/>
      <c r="AA7" s="13">
        <f>IF(Z7="",Y7,Z7)</f>
        <v/>
      </c>
      <c r="AC7">
        <f>TRIM(SUBSTITUTE(SUBSTITUTE(SUBSTITUTE(SUBSTITUTE(SUBSTITUTE(SUBSTITUTE(SUBSTITUTE(SUBSTITUTE(SUBSTITUTE(SUBSTITUTE(SUBSTITUTE(SUBSTITUTE(SUBSTITUTE(LOWER(SUBSTITUTE(SUBSTITUTE(SUBSTITUTE(SUBSTITUTE(SUBSTITUTE(B7,"×","x"),"·",""),"−","-"),"–","-"),"^","")),"μ","u"),"µ","u")," ",""),"k1=",""),"k2=",""),"k3=",""),"kd=",""),"ka=",""),"k=",""),"°c",""),"m-1",""),"um",""),"mm",""))</f>
        <v/>
      </c>
      <c r="AD7">
        <f>TRIM(SUBSTITUTE(SUBSTITUTE(SUBSTITUTE(SUBSTITUTE(SUBSTITUTE(SUBSTITUTE(SUBSTITUTE(SUBSTITUTE(SUBSTITUTE(SUBSTITUTE(SUBSTITUTE(SUBSTITUTE(SUBSTITUTE(LOWER(SUBSTITUTE(SUBSTITUTE(SUBSTITUTE(SUBSTITUTE(SUBSTITUTE(C7,"×","x"),"·",""),"−","-"),"–","-"),"^","")),"μ","u"),"µ","u")," ",""),"k1=",""),"k2=",""),"k3=",""),"kd=",""),"ka=",""),"k=",""),"°c",""),"m-1",""),"um",""),"mm",""))</f>
        <v/>
      </c>
      <c r="AE7">
        <f>TRIM(SUBSTITUTE(SUBSTITUTE(SUBSTITUTE(SUBSTITUTE(SUBSTITUTE(SUBSTITUTE(SUBSTITUTE(SUBSTITUTE(SUBSTITUTE(SUBSTITUTE(SUBSTITUTE(SUBSTITUTE(SUBSTITUTE(LOWER(SUBSTITUTE(SUBSTITUTE(SUBSTITUTE(SUBSTITUTE(SUBSTITUTE(D7,"×","x"),"·",""),"−","-"),"–","-"),"^","")),"μ","u"),"µ","u")," ",""),"k1=",""),"k2=",""),"k3=",""),"kd=",""),"ka=",""),"k=",""),"°c",""),"m-1",""),"um",""),"mm",""))</f>
        <v/>
      </c>
      <c r="AF7">
        <f>TRIM(SUBSTITUTE(SUBSTITUTE(SUBSTITUTE(SUBSTITUTE(SUBSTITUTE(SUBSTITUTE(SUBSTITUTE(SUBSTITUTE(SUBSTITUTE(SUBSTITUTE(SUBSTITUTE(SUBSTITUTE(SUBSTITUTE(LOWER(SUBSTITUTE(SUBSTITUTE(SUBSTITUTE(SUBSTITUTE(SUBSTITUTE(E7,"×","x"),"·",""),"−","-"),"–","-"),"^","")),"μ","u"),"µ","u")," ",""),"k1=",""),"k2=",""),"k3=",""),"kd=",""),"ka=",""),"k=",""),"°c",""),"m-1",""),"um",""),"mm",""))</f>
        <v/>
      </c>
      <c r="AG7">
        <f>TRIM(SUBSTITUTE(SUBSTITUTE(SUBSTITUTE(SUBSTITUTE(SUBSTITUTE(SUBSTITUTE(SUBSTITUTE(SUBSTITUTE(SUBSTITUTE(SUBSTITUTE(SUBSTITUTE(SUBSTITUTE(SUBSTITUTE(LOWER(SUBSTITUTE(SUBSTITUTE(SUBSTITUTE(SUBSTITUTE(SUBSTITUTE(F7,"×","x"),"·",""),"−","-"),"–","-"),"^","")),"μ","u"),"µ","u")," ",""),"k1=",""),"k2=",""),"k3=",""),"kd=",""),"ka=",""),"k=",""),"°c",""),"m-1",""),"um",""),"mm",""))</f>
        <v/>
      </c>
      <c r="AH7">
        <f>TRIM(SUBSTITUTE(SUBSTITUTE(SUBSTITUTE(SUBSTITUTE(SUBSTITUTE(SUBSTITUTE(SUBSTITUTE(SUBSTITUTE(SUBSTITUTE(SUBSTITUTE(SUBSTITUTE(SUBSTITUTE(SUBSTITUTE(LOWER(SUBSTITUTE(SUBSTITUTE(SUBSTITUTE(SUBSTITUTE(SUBSTITUTE(G7,"×","x"),"·",""),"−","-"),"–","-"),"^","")),"μ","u"),"µ","u")," ",""),"k1=",""),"k2=",""),"k3=",""),"kd=",""),"ka=",""),"k=",""),"°c",""),"m-1",""),"um",""),"mm",""))</f>
        <v/>
      </c>
      <c r="AI7">
        <f>TRIM(SUBSTITUTE(SUBSTITUTE(SUBSTITUTE(SUBSTITUTE(SUBSTITUTE(SUBSTITUTE(SUBSTITUTE(SUBSTITUTE(SUBSTITUTE(SUBSTITUTE(SUBSTITUTE(SUBSTITUTE(SUBSTITUTE(LOWER(SUBSTITUTE(SUBSTITUTE(SUBSTITUTE(SUBSTITUTE(SUBSTITUTE(H7,"×","x"),"·",""),"−","-"),"–","-"),"^","")),"μ","u"),"µ","u")," ",""),"k1=",""),"k2=",""),"k3=",""),"kd=",""),"ka=",""),"k=",""),"°c",""),"m-1",""),"um",""),"mm",""))</f>
        <v/>
      </c>
      <c r="AK7">
        <f>TRIM(SUBSTITUTE(SUBSTITUTE(SUBSTITUTE(SUBSTITUTE(SUBSTITUTE(SUBSTITUTE(SUBSTITUTE(SUBSTITUTE(SUBSTITUTE(SUBSTITUTE(SUBSTITUTE(SUBSTITUTE(SUBSTITUTE(LOWER(SUBSTITUTE(SUBSTITUTE(SUBSTITUTE(SUBSTITUTE(SUBSTITUTE(J7,"×","x"),"·",""),"−","-"),"–","-"),"^","")),"μ","u"),"µ","u")," ",""),"k1=",""),"k2=",""),"k3=",""),"kd=",""),"ka=",""),"k=",""),"°c",""),"m-1",""),"um",""),"mm",""))</f>
        <v/>
      </c>
      <c r="AL7">
        <f>TRIM(SUBSTITUTE(SUBSTITUTE(SUBSTITUTE(SUBSTITUTE(SUBSTITUTE(SUBSTITUTE(SUBSTITUTE(SUBSTITUTE(SUBSTITUTE(SUBSTITUTE(SUBSTITUTE(SUBSTITUTE(SUBSTITUTE(LOWER(SUBSTITUTE(SUBSTITUTE(SUBSTITUTE(SUBSTITUTE(SUBSTITUTE(K7,"×","x"),"·",""),"−","-"),"–","-"),"^","")),"μ","u"),"µ","u")," ",""),"k1=",""),"k2=",""),"k3=",""),"kd=",""),"ka=",""),"k=",""),"°c",""),"m-1",""),"um",""),"mm",""))</f>
        <v/>
      </c>
      <c r="AM7">
        <f>TRIM(SUBSTITUTE(SUBSTITUTE(SUBSTITUTE(SUBSTITUTE(SUBSTITUTE(SUBSTITUTE(SUBSTITUTE(SUBSTITUTE(SUBSTITUTE(SUBSTITUTE(SUBSTITUTE(SUBSTITUTE(SUBSTITUTE(LOWER(SUBSTITUTE(SUBSTITUTE(SUBSTITUTE(SUBSTITUTE(SUBSTITUTE(L7,"×","x"),"·",""),"−","-"),"–","-"),"^","")),"μ","u"),"µ","u")," ",""),"k1=",""),"k2=",""),"k3=",""),"kd=",""),"ka=",""),"k=",""),"°c",""),"m-1",""),"um",""),"mm",""))</f>
        <v/>
      </c>
      <c r="AN7">
        <f>TRIM(SUBSTITUTE(SUBSTITUTE(SUBSTITUTE(SUBSTITUTE(SUBSTITUTE(SUBSTITUTE(SUBSTITUTE(SUBSTITUTE(SUBSTITUTE(SUBSTITUTE(SUBSTITUTE(SUBSTITUTE(SUBSTITUTE(LOWER(SUBSTITUTE(SUBSTITUTE(SUBSTITUTE(SUBSTITUTE(SUBSTITUTE(M7,"×","x"),"·",""),"−","-"),"–","-"),"^","")),"μ","u"),"µ","u")," ",""),"k1=",""),"k2=",""),"k3=",""),"kd=",""),"ka=",""),"k=",""),"°c",""),"m-1",""),"um",""),"mm",""))</f>
        <v/>
      </c>
      <c r="AO7">
        <f>TRIM(SUBSTITUTE(SUBSTITUTE(SUBSTITUTE(SUBSTITUTE(SUBSTITUTE(SUBSTITUTE(SUBSTITUTE(SUBSTITUTE(SUBSTITUTE(SUBSTITUTE(SUBSTITUTE(SUBSTITUTE(SUBSTITUTE(LOWER(SUBSTITUTE(SUBSTITUTE(SUBSTITUTE(SUBSTITUTE(SUBSTITUTE(N7,"×","x"),"·",""),"−","-"),"–","-"),"^","")),"μ","u"),"µ","u")," ",""),"k1=",""),"k2=",""),"k3=",""),"kd=",""),"ka=",""),"k=",""),"°c",""),"m-1",""),"um",""),"mm",""))</f>
        <v/>
      </c>
      <c r="AP7">
        <f>TRIM(SUBSTITUTE(SUBSTITUTE(SUBSTITUTE(SUBSTITUTE(SUBSTITUTE(SUBSTITUTE(SUBSTITUTE(SUBSTITUTE(SUBSTITUTE(SUBSTITUTE(SUBSTITUTE(SUBSTITUTE(SUBSTITUTE(LOWER(SUBSTITUTE(SUBSTITUTE(SUBSTITUTE(SUBSTITUTE(SUBSTITUTE(O7,"×","x"),"·",""),"−","-"),"–","-"),"^","")),"μ","u"),"µ","u")," ",""),"k1=",""),"k2=",""),"k3=",""),"kd=",""),"ka=",""),"k=",""),"°c",""),"m-1",""),"um",""),"mm",""))</f>
        <v/>
      </c>
      <c r="AQ7">
        <f>TRIM(SUBSTITUTE(SUBSTITUTE(SUBSTITUTE(SUBSTITUTE(SUBSTITUTE(SUBSTITUTE(SUBSTITUTE(SUBSTITUTE(SUBSTITUTE(SUBSTITUTE(SUBSTITUTE(SUBSTITUTE(SUBSTITUTE(LOWER(SUBSTITUTE(SUBSTITUTE(SUBSTITUTE(SUBSTITUTE(SUBSTITUTE(P7,"×","x"),"·",""),"−","-"),"–","-"),"^","")),"μ","u"),"µ","u")," ",""),"k1=",""),"k2=",""),"k3=",""),"kd=",""),"ka=",""),"k=",""),"°c",""),"m-1",""),"um",""),"mm",""))</f>
        <v/>
      </c>
    </row>
    <row r="8">
      <c r="A8" s="10" t="n">
        <v>5</v>
      </c>
      <c r="B8" s="11" t="inlineStr">
        <is>
          <t>Bovine</t>
        </is>
      </c>
      <c r="C8" s="11" t="n">
        <v>4</v>
      </c>
      <c r="D8" s="11" t="inlineStr">
        <is>
          <t>Tn</t>
        </is>
      </c>
      <c r="E8" s="11" t="inlineStr">
        <is>
          <t>SC</t>
        </is>
      </c>
      <c r="F8" s="11" t="inlineStr">
        <is>
          <t>None</t>
        </is>
      </c>
      <c r="G8" s="11" t="inlineStr">
        <is>
          <t>2.5 x 10^6</t>
        </is>
      </c>
      <c r="H8" s="11" t="n">
        <v>0.4</v>
      </c>
      <c r="J8" s="12" t="n"/>
      <c r="K8" s="12" t="n"/>
      <c r="L8" s="12" t="n"/>
      <c r="M8" s="12" t="n"/>
      <c r="N8" s="12" t="n"/>
      <c r="O8" s="12" t="n"/>
      <c r="P8" s="12" t="n"/>
      <c r="R8" s="13">
        <f>IF(J8="",0,IF(EXACT($AC8,$AK8),1,IF(IFERROR(VALUE($AC8)=VALUE($AK8),FALSE),1,0)))</f>
        <v/>
      </c>
      <c r="S8" s="13">
        <f>IF(K8="",0,IF(EXACT($AD8,$AL8),1,IF(IFERROR(VALUE($AD8)=VALUE($AL8),FALSE),1,0)))</f>
        <v/>
      </c>
      <c r="T8" s="13">
        <f>IF(L8="",0,IF(EXACT($AE8,$AM8),1,IF(IFERROR(VALUE($AE8)=VALUE($AM8),FALSE),1,0)))</f>
        <v/>
      </c>
      <c r="U8" s="13">
        <f>IF(M8="",0,IF(EXACT($AF8,$AN8),1,IF(IFERROR(VALUE($AF8)=VALUE($AN8),FALSE),1,0)))</f>
        <v/>
      </c>
      <c r="V8" s="13">
        <f>IF(N8="",0,IF(EXACT($AG8,$AO8),1,IF(IFERROR(VALUE($AG8)=VALUE($AO8),FALSE),1,0)))</f>
        <v/>
      </c>
      <c r="W8" s="13">
        <f>IF(O8="",0,IF(EXACT($AH8,$AP8),1,IF(IFERROR(VALUE($AH8)=VALUE($AP8),FALSE),1,0)))</f>
        <v/>
      </c>
      <c r="X8" s="13">
        <f>IF(P8="",0,IF(EXACT($AI8,$AQ8),1,IF(IFERROR(VALUE($AI8)=VALUE($AQ8),FALSE),1,0)))</f>
        <v/>
      </c>
      <c r="Y8" s="13">
        <f>SUM(R8:X8)</f>
        <v/>
      </c>
      <c r="Z8" s="14" t="n"/>
      <c r="AA8" s="13">
        <f>IF(Z8="",Y8,Z8)</f>
        <v/>
      </c>
      <c r="AC8">
        <f>TRIM(SUBSTITUTE(SUBSTITUTE(SUBSTITUTE(SUBSTITUTE(SUBSTITUTE(SUBSTITUTE(SUBSTITUTE(SUBSTITUTE(SUBSTITUTE(SUBSTITUTE(SUBSTITUTE(SUBSTITUTE(SUBSTITUTE(LOWER(SUBSTITUTE(SUBSTITUTE(SUBSTITUTE(SUBSTITUTE(SUBSTITUTE(B8,"×","x"),"·",""),"−","-"),"–","-"),"^","")),"μ","u"),"µ","u")," ",""),"k1=",""),"k2=",""),"k3=",""),"kd=",""),"ka=",""),"k=",""),"°c",""),"m-1",""),"um",""),"mm",""))</f>
        <v/>
      </c>
      <c r="AD8">
        <f>TRIM(SUBSTITUTE(SUBSTITUTE(SUBSTITUTE(SUBSTITUTE(SUBSTITUTE(SUBSTITUTE(SUBSTITUTE(SUBSTITUTE(SUBSTITUTE(SUBSTITUTE(SUBSTITUTE(SUBSTITUTE(SUBSTITUTE(LOWER(SUBSTITUTE(SUBSTITUTE(SUBSTITUTE(SUBSTITUTE(SUBSTITUTE(C8,"×","x"),"·",""),"−","-"),"–","-"),"^","")),"μ","u"),"µ","u")," ",""),"k1=",""),"k2=",""),"k3=",""),"kd=",""),"ka=",""),"k=",""),"°c",""),"m-1",""),"um",""),"mm",""))</f>
        <v/>
      </c>
      <c r="AE8">
        <f>TRIM(SUBSTITUTE(SUBSTITUTE(SUBSTITUTE(SUBSTITUTE(SUBSTITUTE(SUBSTITUTE(SUBSTITUTE(SUBSTITUTE(SUBSTITUTE(SUBSTITUTE(SUBSTITUTE(SUBSTITUTE(SUBSTITUTE(LOWER(SUBSTITUTE(SUBSTITUTE(SUBSTITUTE(SUBSTITUTE(SUBSTITUTE(D8,"×","x"),"·",""),"−","-"),"–","-"),"^","")),"μ","u"),"µ","u")," ",""),"k1=",""),"k2=",""),"k3=",""),"kd=",""),"ka=",""),"k=",""),"°c",""),"m-1",""),"um",""),"mm",""))</f>
        <v/>
      </c>
      <c r="AF8">
        <f>TRIM(SUBSTITUTE(SUBSTITUTE(SUBSTITUTE(SUBSTITUTE(SUBSTITUTE(SUBSTITUTE(SUBSTITUTE(SUBSTITUTE(SUBSTITUTE(SUBSTITUTE(SUBSTITUTE(SUBSTITUTE(SUBSTITUTE(LOWER(SUBSTITUTE(SUBSTITUTE(SUBSTITUTE(SUBSTITUTE(SUBSTITUTE(E8,"×","x"),"·",""),"−","-"),"–","-"),"^","")),"μ","u"),"µ","u")," ",""),"k1=",""),"k2=",""),"k3=",""),"kd=",""),"ka=",""),"k=",""),"°c",""),"m-1",""),"um",""),"mm",""))</f>
        <v/>
      </c>
      <c r="AG8">
        <f>TRIM(SUBSTITUTE(SUBSTITUTE(SUBSTITUTE(SUBSTITUTE(SUBSTITUTE(SUBSTITUTE(SUBSTITUTE(SUBSTITUTE(SUBSTITUTE(SUBSTITUTE(SUBSTITUTE(SUBSTITUTE(SUBSTITUTE(LOWER(SUBSTITUTE(SUBSTITUTE(SUBSTITUTE(SUBSTITUTE(SUBSTITUTE(F8,"×","x"),"·",""),"−","-"),"–","-"),"^","")),"μ","u"),"µ","u")," ",""),"k1=",""),"k2=",""),"k3=",""),"kd=",""),"ka=",""),"k=",""),"°c",""),"m-1",""),"um",""),"mm",""))</f>
        <v/>
      </c>
      <c r="AH8">
        <f>TRIM(SUBSTITUTE(SUBSTITUTE(SUBSTITUTE(SUBSTITUTE(SUBSTITUTE(SUBSTITUTE(SUBSTITUTE(SUBSTITUTE(SUBSTITUTE(SUBSTITUTE(SUBSTITUTE(SUBSTITUTE(SUBSTITUTE(LOWER(SUBSTITUTE(SUBSTITUTE(SUBSTITUTE(SUBSTITUTE(SUBSTITUTE(G8,"×","x"),"·",""),"−","-"),"–","-"),"^","")),"μ","u"),"µ","u")," ",""),"k1=",""),"k2=",""),"k3=",""),"kd=",""),"ka=",""),"k=",""),"°c",""),"m-1",""),"um",""),"mm",""))</f>
        <v/>
      </c>
      <c r="AI8">
        <f>TRIM(SUBSTITUTE(SUBSTITUTE(SUBSTITUTE(SUBSTITUTE(SUBSTITUTE(SUBSTITUTE(SUBSTITUTE(SUBSTITUTE(SUBSTITUTE(SUBSTITUTE(SUBSTITUTE(SUBSTITUTE(SUBSTITUTE(LOWER(SUBSTITUTE(SUBSTITUTE(SUBSTITUTE(SUBSTITUTE(SUBSTITUTE(H8,"×","x"),"·",""),"−","-"),"–","-"),"^","")),"μ","u"),"µ","u")," ",""),"k1=",""),"k2=",""),"k3=",""),"kd=",""),"ka=",""),"k=",""),"°c",""),"m-1",""),"um",""),"mm",""))</f>
        <v/>
      </c>
      <c r="AK8">
        <f>TRIM(SUBSTITUTE(SUBSTITUTE(SUBSTITUTE(SUBSTITUTE(SUBSTITUTE(SUBSTITUTE(SUBSTITUTE(SUBSTITUTE(SUBSTITUTE(SUBSTITUTE(SUBSTITUTE(SUBSTITUTE(SUBSTITUTE(LOWER(SUBSTITUTE(SUBSTITUTE(SUBSTITUTE(SUBSTITUTE(SUBSTITUTE(J8,"×","x"),"·",""),"−","-"),"–","-"),"^","")),"μ","u"),"µ","u")," ",""),"k1=",""),"k2=",""),"k3=",""),"kd=",""),"ka=",""),"k=",""),"°c",""),"m-1",""),"um",""),"mm",""))</f>
        <v/>
      </c>
      <c r="AL8">
        <f>TRIM(SUBSTITUTE(SUBSTITUTE(SUBSTITUTE(SUBSTITUTE(SUBSTITUTE(SUBSTITUTE(SUBSTITUTE(SUBSTITUTE(SUBSTITUTE(SUBSTITUTE(SUBSTITUTE(SUBSTITUTE(SUBSTITUTE(LOWER(SUBSTITUTE(SUBSTITUTE(SUBSTITUTE(SUBSTITUTE(SUBSTITUTE(K8,"×","x"),"·",""),"−","-"),"–","-"),"^","")),"μ","u"),"µ","u")," ",""),"k1=",""),"k2=",""),"k3=",""),"kd=",""),"ka=",""),"k=",""),"°c",""),"m-1",""),"um",""),"mm",""))</f>
        <v/>
      </c>
      <c r="AM8">
        <f>TRIM(SUBSTITUTE(SUBSTITUTE(SUBSTITUTE(SUBSTITUTE(SUBSTITUTE(SUBSTITUTE(SUBSTITUTE(SUBSTITUTE(SUBSTITUTE(SUBSTITUTE(SUBSTITUTE(SUBSTITUTE(SUBSTITUTE(LOWER(SUBSTITUTE(SUBSTITUTE(SUBSTITUTE(SUBSTITUTE(SUBSTITUTE(L8,"×","x"),"·",""),"−","-"),"–","-"),"^","")),"μ","u"),"µ","u")," ",""),"k1=",""),"k2=",""),"k3=",""),"kd=",""),"ka=",""),"k=",""),"°c",""),"m-1",""),"um",""),"mm",""))</f>
        <v/>
      </c>
      <c r="AN8">
        <f>TRIM(SUBSTITUTE(SUBSTITUTE(SUBSTITUTE(SUBSTITUTE(SUBSTITUTE(SUBSTITUTE(SUBSTITUTE(SUBSTITUTE(SUBSTITUTE(SUBSTITUTE(SUBSTITUTE(SUBSTITUTE(SUBSTITUTE(LOWER(SUBSTITUTE(SUBSTITUTE(SUBSTITUTE(SUBSTITUTE(SUBSTITUTE(M8,"×","x"),"·",""),"−","-"),"–","-"),"^","")),"μ","u"),"µ","u")," ",""),"k1=",""),"k2=",""),"k3=",""),"kd=",""),"ka=",""),"k=",""),"°c",""),"m-1",""),"um",""),"mm",""))</f>
        <v/>
      </c>
      <c r="AO8">
        <f>TRIM(SUBSTITUTE(SUBSTITUTE(SUBSTITUTE(SUBSTITUTE(SUBSTITUTE(SUBSTITUTE(SUBSTITUTE(SUBSTITUTE(SUBSTITUTE(SUBSTITUTE(SUBSTITUTE(SUBSTITUTE(SUBSTITUTE(LOWER(SUBSTITUTE(SUBSTITUTE(SUBSTITUTE(SUBSTITUTE(SUBSTITUTE(N8,"×","x"),"·",""),"−","-"),"–","-"),"^","")),"μ","u"),"µ","u")," ",""),"k1=",""),"k2=",""),"k3=",""),"kd=",""),"ka=",""),"k=",""),"°c",""),"m-1",""),"um",""),"mm",""))</f>
        <v/>
      </c>
      <c r="AP8">
        <f>TRIM(SUBSTITUTE(SUBSTITUTE(SUBSTITUTE(SUBSTITUTE(SUBSTITUTE(SUBSTITUTE(SUBSTITUTE(SUBSTITUTE(SUBSTITUTE(SUBSTITUTE(SUBSTITUTE(SUBSTITUTE(SUBSTITUTE(LOWER(SUBSTITUTE(SUBSTITUTE(SUBSTITUTE(SUBSTITUTE(SUBSTITUTE(O8,"×","x"),"·",""),"−","-"),"–","-"),"^","")),"μ","u"),"µ","u")," ",""),"k1=",""),"k2=",""),"k3=",""),"kd=",""),"ka=",""),"k=",""),"°c",""),"m-1",""),"um",""),"mm",""))</f>
        <v/>
      </c>
      <c r="AQ8">
        <f>TRIM(SUBSTITUTE(SUBSTITUTE(SUBSTITUTE(SUBSTITUTE(SUBSTITUTE(SUBSTITUTE(SUBSTITUTE(SUBSTITUTE(SUBSTITUTE(SUBSTITUTE(SUBSTITUTE(SUBSTITUTE(SUBSTITUTE(LOWER(SUBSTITUTE(SUBSTITUTE(SUBSTITUTE(SUBSTITUTE(SUBSTITUTE(P8,"×","x"),"·",""),"−","-"),"–","-"),"^","")),"μ","u"),"µ","u")," ",""),"k1=",""),"k2=",""),"k3=",""),"kd=",""),"ka=",""),"k=",""),"°c",""),"m-1",""),"um",""),"mm",""))</f>
        <v/>
      </c>
    </row>
    <row r="9">
      <c r="A9" s="10" t="n">
        <v>6</v>
      </c>
      <c r="B9" s="11" t="inlineStr">
        <is>
          <t>Bovine</t>
        </is>
      </c>
      <c r="C9" s="11" t="n">
        <v>4</v>
      </c>
      <c r="D9" s="11" t="inlineStr">
        <is>
          <t>Tn</t>
        </is>
      </c>
      <c r="E9" s="11" t="inlineStr">
        <is>
          <t>SC</t>
        </is>
      </c>
      <c r="F9" s="11" t="n">
        <v>4</v>
      </c>
      <c r="G9" s="11" t="inlineStr">
        <is>
          <t>2.5 x 10^6</t>
        </is>
      </c>
      <c r="H9" s="11" t="n">
        <v>0.4</v>
      </c>
      <c r="J9" s="12" t="n"/>
      <c r="K9" s="12" t="n"/>
      <c r="L9" s="12" t="n"/>
      <c r="M9" s="12" t="n"/>
      <c r="N9" s="12" t="n"/>
      <c r="O9" s="12" t="n"/>
      <c r="P9" s="12" t="n"/>
      <c r="R9" s="13">
        <f>IF(J9="",0,IF(EXACT($AC9,$AK9),1,IF(IFERROR(VALUE($AC9)=VALUE($AK9),FALSE),1,0)))</f>
        <v/>
      </c>
      <c r="S9" s="13">
        <f>IF(K9="",0,IF(EXACT($AD9,$AL9),1,IF(IFERROR(VALUE($AD9)=VALUE($AL9),FALSE),1,0)))</f>
        <v/>
      </c>
      <c r="T9" s="13">
        <f>IF(L9="",0,IF(EXACT($AE9,$AM9),1,IF(IFERROR(VALUE($AE9)=VALUE($AM9),FALSE),1,0)))</f>
        <v/>
      </c>
      <c r="U9" s="13">
        <f>IF(M9="",0,IF(EXACT($AF9,$AN9),1,IF(IFERROR(VALUE($AF9)=VALUE($AN9),FALSE),1,0)))</f>
        <v/>
      </c>
      <c r="V9" s="13">
        <f>IF(N9="",0,IF(EXACT($AG9,$AO9),1,IF(IFERROR(VALUE($AG9)=VALUE($AO9),FALSE),1,0)))</f>
        <v/>
      </c>
      <c r="W9" s="13">
        <f>IF(O9="",0,IF(EXACT($AH9,$AP9),1,IF(IFERROR(VALUE($AH9)=VALUE($AP9),FALSE),1,0)))</f>
        <v/>
      </c>
      <c r="X9" s="13">
        <f>IF(P9="",0,IF(EXACT($AI9,$AQ9),1,IF(IFERROR(VALUE($AI9)=VALUE($AQ9),FALSE),1,0)))</f>
        <v/>
      </c>
      <c r="Y9" s="13">
        <f>SUM(R9:X9)</f>
        <v/>
      </c>
      <c r="Z9" s="14" t="n"/>
      <c r="AA9" s="13">
        <f>IF(Z9="",Y9,Z9)</f>
        <v/>
      </c>
      <c r="AC9">
        <f>TRIM(SUBSTITUTE(SUBSTITUTE(SUBSTITUTE(SUBSTITUTE(SUBSTITUTE(SUBSTITUTE(SUBSTITUTE(SUBSTITUTE(SUBSTITUTE(SUBSTITUTE(SUBSTITUTE(SUBSTITUTE(SUBSTITUTE(LOWER(SUBSTITUTE(SUBSTITUTE(SUBSTITUTE(SUBSTITUTE(SUBSTITUTE(B9,"×","x"),"·",""),"−","-"),"–","-"),"^","")),"μ","u"),"µ","u")," ",""),"k1=",""),"k2=",""),"k3=",""),"kd=",""),"ka=",""),"k=",""),"°c",""),"m-1",""),"um",""),"mm",""))</f>
        <v/>
      </c>
      <c r="AD9">
        <f>TRIM(SUBSTITUTE(SUBSTITUTE(SUBSTITUTE(SUBSTITUTE(SUBSTITUTE(SUBSTITUTE(SUBSTITUTE(SUBSTITUTE(SUBSTITUTE(SUBSTITUTE(SUBSTITUTE(SUBSTITUTE(SUBSTITUTE(LOWER(SUBSTITUTE(SUBSTITUTE(SUBSTITUTE(SUBSTITUTE(SUBSTITUTE(C9,"×","x"),"·",""),"−","-"),"–","-"),"^","")),"μ","u"),"µ","u")," ",""),"k1=",""),"k2=",""),"k3=",""),"kd=",""),"ka=",""),"k=",""),"°c",""),"m-1",""),"um",""),"mm",""))</f>
        <v/>
      </c>
      <c r="AE9">
        <f>TRIM(SUBSTITUTE(SUBSTITUTE(SUBSTITUTE(SUBSTITUTE(SUBSTITUTE(SUBSTITUTE(SUBSTITUTE(SUBSTITUTE(SUBSTITUTE(SUBSTITUTE(SUBSTITUTE(SUBSTITUTE(SUBSTITUTE(LOWER(SUBSTITUTE(SUBSTITUTE(SUBSTITUTE(SUBSTITUTE(SUBSTITUTE(D9,"×","x"),"·",""),"−","-"),"–","-"),"^","")),"μ","u"),"µ","u")," ",""),"k1=",""),"k2=",""),"k3=",""),"kd=",""),"ka=",""),"k=",""),"°c",""),"m-1",""),"um",""),"mm",""))</f>
        <v/>
      </c>
      <c r="AF9">
        <f>TRIM(SUBSTITUTE(SUBSTITUTE(SUBSTITUTE(SUBSTITUTE(SUBSTITUTE(SUBSTITUTE(SUBSTITUTE(SUBSTITUTE(SUBSTITUTE(SUBSTITUTE(SUBSTITUTE(SUBSTITUTE(SUBSTITUTE(LOWER(SUBSTITUTE(SUBSTITUTE(SUBSTITUTE(SUBSTITUTE(SUBSTITUTE(E9,"×","x"),"·",""),"−","-"),"–","-"),"^","")),"μ","u"),"µ","u")," ",""),"k1=",""),"k2=",""),"k3=",""),"kd=",""),"ka=",""),"k=",""),"°c",""),"m-1",""),"um",""),"mm",""))</f>
        <v/>
      </c>
      <c r="AG9">
        <f>TRIM(SUBSTITUTE(SUBSTITUTE(SUBSTITUTE(SUBSTITUTE(SUBSTITUTE(SUBSTITUTE(SUBSTITUTE(SUBSTITUTE(SUBSTITUTE(SUBSTITUTE(SUBSTITUTE(SUBSTITUTE(SUBSTITUTE(LOWER(SUBSTITUTE(SUBSTITUTE(SUBSTITUTE(SUBSTITUTE(SUBSTITUTE(F9,"×","x"),"·",""),"−","-"),"–","-"),"^","")),"μ","u"),"µ","u")," ",""),"k1=",""),"k2=",""),"k3=",""),"kd=",""),"ka=",""),"k=",""),"°c",""),"m-1",""),"um",""),"mm",""))</f>
        <v/>
      </c>
      <c r="AH9">
        <f>TRIM(SUBSTITUTE(SUBSTITUTE(SUBSTITUTE(SUBSTITUTE(SUBSTITUTE(SUBSTITUTE(SUBSTITUTE(SUBSTITUTE(SUBSTITUTE(SUBSTITUTE(SUBSTITUTE(SUBSTITUTE(SUBSTITUTE(LOWER(SUBSTITUTE(SUBSTITUTE(SUBSTITUTE(SUBSTITUTE(SUBSTITUTE(G9,"×","x"),"·",""),"−","-"),"–","-"),"^","")),"μ","u"),"µ","u")," ",""),"k1=",""),"k2=",""),"k3=",""),"kd=",""),"ka=",""),"k=",""),"°c",""),"m-1",""),"um",""),"mm",""))</f>
        <v/>
      </c>
      <c r="AI9">
        <f>TRIM(SUBSTITUTE(SUBSTITUTE(SUBSTITUTE(SUBSTITUTE(SUBSTITUTE(SUBSTITUTE(SUBSTITUTE(SUBSTITUTE(SUBSTITUTE(SUBSTITUTE(SUBSTITUTE(SUBSTITUTE(SUBSTITUTE(LOWER(SUBSTITUTE(SUBSTITUTE(SUBSTITUTE(SUBSTITUTE(SUBSTITUTE(H9,"×","x"),"·",""),"−","-"),"–","-"),"^","")),"μ","u"),"µ","u")," ",""),"k1=",""),"k2=",""),"k3=",""),"kd=",""),"ka=",""),"k=",""),"°c",""),"m-1",""),"um",""),"mm",""))</f>
        <v/>
      </c>
      <c r="AK9">
        <f>TRIM(SUBSTITUTE(SUBSTITUTE(SUBSTITUTE(SUBSTITUTE(SUBSTITUTE(SUBSTITUTE(SUBSTITUTE(SUBSTITUTE(SUBSTITUTE(SUBSTITUTE(SUBSTITUTE(SUBSTITUTE(SUBSTITUTE(LOWER(SUBSTITUTE(SUBSTITUTE(SUBSTITUTE(SUBSTITUTE(SUBSTITUTE(J9,"×","x"),"·",""),"−","-"),"–","-"),"^","")),"μ","u"),"µ","u")," ",""),"k1=",""),"k2=",""),"k3=",""),"kd=",""),"ka=",""),"k=",""),"°c",""),"m-1",""),"um",""),"mm",""))</f>
        <v/>
      </c>
      <c r="AL9">
        <f>TRIM(SUBSTITUTE(SUBSTITUTE(SUBSTITUTE(SUBSTITUTE(SUBSTITUTE(SUBSTITUTE(SUBSTITUTE(SUBSTITUTE(SUBSTITUTE(SUBSTITUTE(SUBSTITUTE(SUBSTITUTE(SUBSTITUTE(LOWER(SUBSTITUTE(SUBSTITUTE(SUBSTITUTE(SUBSTITUTE(SUBSTITUTE(K9,"×","x"),"·",""),"−","-"),"–","-"),"^","")),"μ","u"),"µ","u")," ",""),"k1=",""),"k2=",""),"k3=",""),"kd=",""),"ka=",""),"k=",""),"°c",""),"m-1",""),"um",""),"mm",""))</f>
        <v/>
      </c>
      <c r="AM9">
        <f>TRIM(SUBSTITUTE(SUBSTITUTE(SUBSTITUTE(SUBSTITUTE(SUBSTITUTE(SUBSTITUTE(SUBSTITUTE(SUBSTITUTE(SUBSTITUTE(SUBSTITUTE(SUBSTITUTE(SUBSTITUTE(SUBSTITUTE(LOWER(SUBSTITUTE(SUBSTITUTE(SUBSTITUTE(SUBSTITUTE(SUBSTITUTE(L9,"×","x"),"·",""),"−","-"),"–","-"),"^","")),"μ","u"),"µ","u")," ",""),"k1=",""),"k2=",""),"k3=",""),"kd=",""),"ka=",""),"k=",""),"°c",""),"m-1",""),"um",""),"mm",""))</f>
        <v/>
      </c>
      <c r="AN9">
        <f>TRIM(SUBSTITUTE(SUBSTITUTE(SUBSTITUTE(SUBSTITUTE(SUBSTITUTE(SUBSTITUTE(SUBSTITUTE(SUBSTITUTE(SUBSTITUTE(SUBSTITUTE(SUBSTITUTE(SUBSTITUTE(SUBSTITUTE(LOWER(SUBSTITUTE(SUBSTITUTE(SUBSTITUTE(SUBSTITUTE(SUBSTITUTE(M9,"×","x"),"·",""),"−","-"),"–","-"),"^","")),"μ","u"),"µ","u")," ",""),"k1=",""),"k2=",""),"k3=",""),"kd=",""),"ka=",""),"k=",""),"°c",""),"m-1",""),"um",""),"mm",""))</f>
        <v/>
      </c>
      <c r="AO9">
        <f>TRIM(SUBSTITUTE(SUBSTITUTE(SUBSTITUTE(SUBSTITUTE(SUBSTITUTE(SUBSTITUTE(SUBSTITUTE(SUBSTITUTE(SUBSTITUTE(SUBSTITUTE(SUBSTITUTE(SUBSTITUTE(SUBSTITUTE(LOWER(SUBSTITUTE(SUBSTITUTE(SUBSTITUTE(SUBSTITUTE(SUBSTITUTE(N9,"×","x"),"·",""),"−","-"),"–","-"),"^","")),"μ","u"),"µ","u")," ",""),"k1=",""),"k2=",""),"k3=",""),"kd=",""),"ka=",""),"k=",""),"°c",""),"m-1",""),"um",""),"mm",""))</f>
        <v/>
      </c>
      <c r="AP9">
        <f>TRIM(SUBSTITUTE(SUBSTITUTE(SUBSTITUTE(SUBSTITUTE(SUBSTITUTE(SUBSTITUTE(SUBSTITUTE(SUBSTITUTE(SUBSTITUTE(SUBSTITUTE(SUBSTITUTE(SUBSTITUTE(SUBSTITUTE(LOWER(SUBSTITUTE(SUBSTITUTE(SUBSTITUTE(SUBSTITUTE(SUBSTITUTE(O9,"×","x"),"·",""),"−","-"),"–","-"),"^","")),"μ","u"),"µ","u")," ",""),"k1=",""),"k2=",""),"k3=",""),"kd=",""),"ka=",""),"k=",""),"°c",""),"m-1",""),"um",""),"mm",""))</f>
        <v/>
      </c>
      <c r="AQ9">
        <f>TRIM(SUBSTITUTE(SUBSTITUTE(SUBSTITUTE(SUBSTITUTE(SUBSTITUTE(SUBSTITUTE(SUBSTITUTE(SUBSTITUTE(SUBSTITUTE(SUBSTITUTE(SUBSTITUTE(SUBSTITUTE(SUBSTITUTE(LOWER(SUBSTITUTE(SUBSTITUTE(SUBSTITUTE(SUBSTITUTE(SUBSTITUTE(P9,"×","x"),"·",""),"−","-"),"–","-"),"^","")),"μ","u"),"µ","u")," ",""),"k1=",""),"k2=",""),"k3=",""),"kd=",""),"ka=",""),"k=",""),"°c",""),"m-1",""),"um",""),"mm",""))</f>
        <v/>
      </c>
    </row>
    <row r="11">
      <c r="W11" s="2" t="inlineStr">
        <is>
          <t>RUN TOTAL:</t>
        </is>
      </c>
      <c r="Y11" s="15">
        <f>SUM(AA4:AA9)</f>
        <v/>
      </c>
      <c r="Z11" s="3" t="inlineStr">
        <is>
          <t>out of 42</t>
        </is>
      </c>
      <c r="AA11" s="16">
        <f>IF(SUM(AA4:AA9)=0,"",Y11/42)</f>
        <v/>
      </c>
    </row>
    <row r="12">
      <c r="W12" s="3" t="inlineStr">
        <is>
          <t>Accuracy % →</t>
        </is>
      </c>
    </row>
    <row r="14">
      <c r="B14" s="3" t="inlineStr">
        <is>
          <t>Extra rows your model produced beyond these 6 (optional, for feedback):</t>
        </is>
      </c>
      <c r="J14" s="14" t="n"/>
    </row>
  </sheetData>
  <mergeCells count="3">
    <mergeCell ref="J2:P2"/>
    <mergeCell ref="B2:H2"/>
    <mergeCell ref="R2:X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T58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20" customWidth="1" min="3" max="3"/>
    <col width="14" customWidth="1" min="4" max="4"/>
    <col hidden="1" width="13" customWidth="1" min="20" max="20"/>
  </cols>
  <sheetData>
    <row r="2">
      <c r="B2" s="1" t="inlineStr">
        <is>
          <t>Scoreboard</t>
        </is>
      </c>
    </row>
    <row r="4">
      <c r="B4" s="2" t="inlineStr">
        <is>
          <t>Accuracy against the benchmark (how correct)</t>
        </is>
      </c>
    </row>
    <row r="5">
      <c r="B5" s="17" t="inlineStr">
        <is>
          <t>Run</t>
        </is>
      </c>
      <c r="C5" s="17" t="inlineStr">
        <is>
          <t>Fields correct /42</t>
        </is>
      </c>
      <c r="D5" s="17" t="inlineStr">
        <is>
          <t>Accuracy %</t>
        </is>
      </c>
    </row>
    <row r="6">
      <c r="B6" s="10" t="inlineStr">
        <is>
          <t>Run 1</t>
        </is>
      </c>
      <c r="C6" s="10">
        <f>SUM('Run 1'!AA4:AA9)</f>
        <v/>
      </c>
      <c r="D6" s="18">
        <f>IF(SUM('Run 1'!AA4:AA9)=0,"—",SUM('Run 1'!AA4:AA9)/42)</f>
        <v/>
      </c>
    </row>
    <row r="7">
      <c r="B7" s="10" t="inlineStr">
        <is>
          <t>Run 2</t>
        </is>
      </c>
      <c r="C7" s="10">
        <f>SUM('Run 2'!AA4:AA9)</f>
        <v/>
      </c>
      <c r="D7" s="18">
        <f>IF(SUM('Run 2'!AA4:AA9)=0,"—",SUM('Run 2'!AA4:AA9)/42)</f>
        <v/>
      </c>
    </row>
    <row r="8">
      <c r="B8" s="10" t="inlineStr">
        <is>
          <t>Run 3</t>
        </is>
      </c>
      <c r="C8" s="10">
        <f>SUM('Run 3'!AA4:AA9)</f>
        <v/>
      </c>
      <c r="D8" s="18">
        <f>IF(SUM('Run 3'!AA4:AA9)=0,"—",SUM('Run 3'!AA4:AA9)/42)</f>
        <v/>
      </c>
    </row>
    <row r="9">
      <c r="B9" s="10" t="inlineStr">
        <is>
          <t>Run 4</t>
        </is>
      </c>
      <c r="C9" s="10">
        <f>SUM('Run 4'!AA4:AA9)</f>
        <v/>
      </c>
      <c r="D9" s="18">
        <f>IF(SUM('Run 4'!AA4:AA9)=0,"—",SUM('Run 4'!AA4:AA9)/42)</f>
        <v/>
      </c>
    </row>
    <row r="10">
      <c r="B10" s="10" t="inlineStr">
        <is>
          <t>Run 5</t>
        </is>
      </c>
      <c r="C10" s="10">
        <f>SUM('Run 5'!AA4:AA9)</f>
        <v/>
      </c>
      <c r="D10" s="18">
        <f>IF(SUM('Run 5'!AA4:AA9)=0,"—",SUM('Run 5'!AA4:AA9)/42)</f>
        <v/>
      </c>
    </row>
    <row r="11">
      <c r="B11" s="2" t="inlineStr">
        <is>
          <t>Average (completed runs)</t>
        </is>
      </c>
      <c r="D11" s="19">
        <f>IFERROR(AVERAGE(IF(SUM('Run 1'!AA4:AA9)=0,"",SUM('Run 1'!AA4:AA9)/42),IF(SUM('Run 2'!AA4:AA9)=0,"",SUM('Run 2'!AA4:AA9)/42),IF(SUM('Run 3'!AA4:AA9)=0,"",SUM('Run 3'!AA4:AA9)/42),IF(SUM('Run 4'!AA4:AA9)=0,"",SUM('Run 4'!AA4:AA9)/42),IF(SUM('Run 5'!AA4:AA9)=0,"",SUM('Run 5'!AA4:AA9)/42)),"—")</f>
        <v/>
      </c>
    </row>
    <row r="14">
      <c r="B14" s="2" t="inlineStr">
        <is>
          <t>Consistency across runs (how repeatable)</t>
        </is>
      </c>
    </row>
    <row r="15">
      <c r="B15" s="3" t="inlineStr">
        <is>
          <t>Of the 42 fields, the share where all completed runs gave the same value. High = your model is stable; low = it changes its answer run to run.</t>
        </is>
      </c>
    </row>
    <row r="17">
      <c r="C17" s="3" t="inlineStr">
        <is>
          <t>Consistent fields:</t>
        </is>
      </c>
      <c r="D17">
        <f>SUMIF(T17:T58,1)</f>
        <v/>
      </c>
      <c r="T17">
        <f>IF('Run 1'!J4="","",IF(AND(IF('Run 1'!J4="",TRUE,EXACT('Run 1'!AK4,'Run 1'!AK4)),IF('Run 2'!J4="",TRUE,EXACT('Run 2'!AK4,'Run 1'!AK4)),IF('Run 3'!J4="",TRUE,EXACT('Run 3'!AK4,'Run 1'!AK4)),IF('Run 4'!J4="",TRUE,EXACT('Run 4'!AK4,'Run 1'!AK4)),IF('Run 5'!J4="",TRUE,EXACT('Run 5'!AK4,'Run 1'!AK4))),1,0))</f>
        <v/>
      </c>
    </row>
    <row r="18">
      <c r="C18" s="3" t="inlineStr">
        <is>
          <t>Fields compared:</t>
        </is>
      </c>
      <c r="D18">
        <f>COUNT(T17:T58)</f>
        <v/>
      </c>
      <c r="T18">
        <f>IF('Run 1'!K4="","",IF(AND(IF('Run 1'!K4="",TRUE,EXACT('Run 1'!AL4,'Run 1'!AL4)),IF('Run 2'!K4="",TRUE,EXACT('Run 2'!AL4,'Run 1'!AL4)),IF('Run 3'!K4="",TRUE,EXACT('Run 3'!AL4,'Run 1'!AL4)),IF('Run 4'!K4="",TRUE,EXACT('Run 4'!AL4,'Run 1'!AL4)),IF('Run 5'!K4="",TRUE,EXACT('Run 5'!AL4,'Run 1'!AL4))),1,0))</f>
        <v/>
      </c>
    </row>
    <row r="19">
      <c r="C19" s="2" t="inlineStr">
        <is>
          <t>Consistency %:</t>
        </is>
      </c>
      <c r="D19" s="19">
        <f>IFERROR(D17/D18,"—")</f>
        <v/>
      </c>
      <c r="T19">
        <f>IF('Run 1'!L4="","",IF(AND(IF('Run 1'!L4="",TRUE,EXACT('Run 1'!AM4,'Run 1'!AM4)),IF('Run 2'!L4="",TRUE,EXACT('Run 2'!AM4,'Run 1'!AM4)),IF('Run 3'!L4="",TRUE,EXACT('Run 3'!AM4,'Run 1'!AM4)),IF('Run 4'!L4="",TRUE,EXACT('Run 4'!AM4,'Run 1'!AM4)),IF('Run 5'!L4="",TRUE,EXACT('Run 5'!AM4,'Run 1'!AM4))),1,0))</f>
        <v/>
      </c>
    </row>
    <row r="20">
      <c r="T20">
        <f>IF('Run 1'!M4="","",IF(AND(IF('Run 1'!M4="",TRUE,EXACT('Run 1'!AN4,'Run 1'!AN4)),IF('Run 2'!M4="",TRUE,EXACT('Run 2'!AN4,'Run 1'!AN4)),IF('Run 3'!M4="",TRUE,EXACT('Run 3'!AN4,'Run 1'!AN4)),IF('Run 4'!M4="",TRUE,EXACT('Run 4'!AN4,'Run 1'!AN4)),IF('Run 5'!M4="",TRUE,EXACT('Run 5'!AN4,'Run 1'!AN4))),1,0))</f>
        <v/>
      </c>
    </row>
    <row r="21">
      <c r="B21" s="3" t="inlineStr">
        <is>
          <t>(Consistency assumes you complete all 5 runs; blank runs are ignored.)</t>
        </is>
      </c>
      <c r="T21">
        <f>IF('Run 1'!N4="","",IF(AND(IF('Run 1'!N4="",TRUE,EXACT('Run 1'!AO4,'Run 1'!AO4)),IF('Run 2'!N4="",TRUE,EXACT('Run 2'!AO4,'Run 1'!AO4)),IF('Run 3'!N4="",TRUE,EXACT('Run 3'!AO4,'Run 1'!AO4)),IF('Run 4'!N4="",TRUE,EXACT('Run 4'!AO4,'Run 1'!AO4)),IF('Run 5'!N4="",TRUE,EXACT('Run 5'!AO4,'Run 1'!AO4))),1,0))</f>
        <v/>
      </c>
    </row>
    <row r="22">
      <c r="T22">
        <f>IF('Run 1'!O4="","",IF(AND(IF('Run 1'!O4="",TRUE,EXACT('Run 1'!AP4,'Run 1'!AP4)),IF('Run 2'!O4="",TRUE,EXACT('Run 2'!AP4,'Run 1'!AP4)),IF('Run 3'!O4="",TRUE,EXACT('Run 3'!AP4,'Run 1'!AP4)),IF('Run 4'!O4="",TRUE,EXACT('Run 4'!AP4,'Run 1'!AP4)),IF('Run 5'!O4="",TRUE,EXACT('Run 5'!AP4,'Run 1'!AP4))),1,0))</f>
        <v/>
      </c>
    </row>
    <row r="23">
      <c r="T23">
        <f>IF('Run 1'!P4="","",IF(AND(IF('Run 1'!P4="",TRUE,EXACT('Run 1'!AQ4,'Run 1'!AQ4)),IF('Run 2'!P4="",TRUE,EXACT('Run 2'!AQ4,'Run 1'!AQ4)),IF('Run 3'!P4="",TRUE,EXACT('Run 3'!AQ4,'Run 1'!AQ4)),IF('Run 4'!P4="",TRUE,EXACT('Run 4'!AQ4,'Run 1'!AQ4)),IF('Run 5'!P4="",TRUE,EXACT('Run 5'!AQ4,'Run 1'!AQ4))),1,0))</f>
        <v/>
      </c>
    </row>
    <row r="24">
      <c r="T24">
        <f>IF('Run 1'!J5="","",IF(AND(IF('Run 1'!J5="",TRUE,EXACT('Run 1'!AK5,'Run 1'!AK5)),IF('Run 2'!J5="",TRUE,EXACT('Run 2'!AK5,'Run 1'!AK5)),IF('Run 3'!J5="",TRUE,EXACT('Run 3'!AK5,'Run 1'!AK5)),IF('Run 4'!J5="",TRUE,EXACT('Run 4'!AK5,'Run 1'!AK5)),IF('Run 5'!J5="",TRUE,EXACT('Run 5'!AK5,'Run 1'!AK5))),1,0))</f>
        <v/>
      </c>
    </row>
    <row r="25">
      <c r="T25">
        <f>IF('Run 1'!K5="","",IF(AND(IF('Run 1'!K5="",TRUE,EXACT('Run 1'!AL5,'Run 1'!AL5)),IF('Run 2'!K5="",TRUE,EXACT('Run 2'!AL5,'Run 1'!AL5)),IF('Run 3'!K5="",TRUE,EXACT('Run 3'!AL5,'Run 1'!AL5)),IF('Run 4'!K5="",TRUE,EXACT('Run 4'!AL5,'Run 1'!AL5)),IF('Run 5'!K5="",TRUE,EXACT('Run 5'!AL5,'Run 1'!AL5))),1,0))</f>
        <v/>
      </c>
    </row>
    <row r="26">
      <c r="T26">
        <f>IF('Run 1'!L5="","",IF(AND(IF('Run 1'!L5="",TRUE,EXACT('Run 1'!AM5,'Run 1'!AM5)),IF('Run 2'!L5="",TRUE,EXACT('Run 2'!AM5,'Run 1'!AM5)),IF('Run 3'!L5="",TRUE,EXACT('Run 3'!AM5,'Run 1'!AM5)),IF('Run 4'!L5="",TRUE,EXACT('Run 4'!AM5,'Run 1'!AM5)),IF('Run 5'!L5="",TRUE,EXACT('Run 5'!AM5,'Run 1'!AM5))),1,0))</f>
        <v/>
      </c>
    </row>
    <row r="27">
      <c r="T27">
        <f>IF('Run 1'!M5="","",IF(AND(IF('Run 1'!M5="",TRUE,EXACT('Run 1'!AN5,'Run 1'!AN5)),IF('Run 2'!M5="",TRUE,EXACT('Run 2'!AN5,'Run 1'!AN5)),IF('Run 3'!M5="",TRUE,EXACT('Run 3'!AN5,'Run 1'!AN5)),IF('Run 4'!M5="",TRUE,EXACT('Run 4'!AN5,'Run 1'!AN5)),IF('Run 5'!M5="",TRUE,EXACT('Run 5'!AN5,'Run 1'!AN5))),1,0))</f>
        <v/>
      </c>
    </row>
    <row r="28">
      <c r="T28">
        <f>IF('Run 1'!N5="","",IF(AND(IF('Run 1'!N5="",TRUE,EXACT('Run 1'!AO5,'Run 1'!AO5)),IF('Run 2'!N5="",TRUE,EXACT('Run 2'!AO5,'Run 1'!AO5)),IF('Run 3'!N5="",TRUE,EXACT('Run 3'!AO5,'Run 1'!AO5)),IF('Run 4'!N5="",TRUE,EXACT('Run 4'!AO5,'Run 1'!AO5)),IF('Run 5'!N5="",TRUE,EXACT('Run 5'!AO5,'Run 1'!AO5))),1,0))</f>
        <v/>
      </c>
    </row>
    <row r="29">
      <c r="T29">
        <f>IF('Run 1'!O5="","",IF(AND(IF('Run 1'!O5="",TRUE,EXACT('Run 1'!AP5,'Run 1'!AP5)),IF('Run 2'!O5="",TRUE,EXACT('Run 2'!AP5,'Run 1'!AP5)),IF('Run 3'!O5="",TRUE,EXACT('Run 3'!AP5,'Run 1'!AP5)),IF('Run 4'!O5="",TRUE,EXACT('Run 4'!AP5,'Run 1'!AP5)),IF('Run 5'!O5="",TRUE,EXACT('Run 5'!AP5,'Run 1'!AP5))),1,0))</f>
        <v/>
      </c>
    </row>
    <row r="30">
      <c r="T30">
        <f>IF('Run 1'!P5="","",IF(AND(IF('Run 1'!P5="",TRUE,EXACT('Run 1'!AQ5,'Run 1'!AQ5)),IF('Run 2'!P5="",TRUE,EXACT('Run 2'!AQ5,'Run 1'!AQ5)),IF('Run 3'!P5="",TRUE,EXACT('Run 3'!AQ5,'Run 1'!AQ5)),IF('Run 4'!P5="",TRUE,EXACT('Run 4'!AQ5,'Run 1'!AQ5)),IF('Run 5'!P5="",TRUE,EXACT('Run 5'!AQ5,'Run 1'!AQ5))),1,0))</f>
        <v/>
      </c>
    </row>
    <row r="31">
      <c r="T31">
        <f>IF('Run 1'!J6="","",IF(AND(IF('Run 1'!J6="",TRUE,EXACT('Run 1'!AK6,'Run 1'!AK6)),IF('Run 2'!J6="",TRUE,EXACT('Run 2'!AK6,'Run 1'!AK6)),IF('Run 3'!J6="",TRUE,EXACT('Run 3'!AK6,'Run 1'!AK6)),IF('Run 4'!J6="",TRUE,EXACT('Run 4'!AK6,'Run 1'!AK6)),IF('Run 5'!J6="",TRUE,EXACT('Run 5'!AK6,'Run 1'!AK6))),1,0))</f>
        <v/>
      </c>
    </row>
    <row r="32">
      <c r="T32">
        <f>IF('Run 1'!K6="","",IF(AND(IF('Run 1'!K6="",TRUE,EXACT('Run 1'!AL6,'Run 1'!AL6)),IF('Run 2'!K6="",TRUE,EXACT('Run 2'!AL6,'Run 1'!AL6)),IF('Run 3'!K6="",TRUE,EXACT('Run 3'!AL6,'Run 1'!AL6)),IF('Run 4'!K6="",TRUE,EXACT('Run 4'!AL6,'Run 1'!AL6)),IF('Run 5'!K6="",TRUE,EXACT('Run 5'!AL6,'Run 1'!AL6))),1,0))</f>
        <v/>
      </c>
    </row>
    <row r="33">
      <c r="T33">
        <f>IF('Run 1'!L6="","",IF(AND(IF('Run 1'!L6="",TRUE,EXACT('Run 1'!AM6,'Run 1'!AM6)),IF('Run 2'!L6="",TRUE,EXACT('Run 2'!AM6,'Run 1'!AM6)),IF('Run 3'!L6="",TRUE,EXACT('Run 3'!AM6,'Run 1'!AM6)),IF('Run 4'!L6="",TRUE,EXACT('Run 4'!AM6,'Run 1'!AM6)),IF('Run 5'!L6="",TRUE,EXACT('Run 5'!AM6,'Run 1'!AM6))),1,0))</f>
        <v/>
      </c>
    </row>
    <row r="34">
      <c r="T34">
        <f>IF('Run 1'!M6="","",IF(AND(IF('Run 1'!M6="",TRUE,EXACT('Run 1'!AN6,'Run 1'!AN6)),IF('Run 2'!M6="",TRUE,EXACT('Run 2'!AN6,'Run 1'!AN6)),IF('Run 3'!M6="",TRUE,EXACT('Run 3'!AN6,'Run 1'!AN6)),IF('Run 4'!M6="",TRUE,EXACT('Run 4'!AN6,'Run 1'!AN6)),IF('Run 5'!M6="",TRUE,EXACT('Run 5'!AN6,'Run 1'!AN6))),1,0))</f>
        <v/>
      </c>
    </row>
    <row r="35">
      <c r="T35">
        <f>IF('Run 1'!N6="","",IF(AND(IF('Run 1'!N6="",TRUE,EXACT('Run 1'!AO6,'Run 1'!AO6)),IF('Run 2'!N6="",TRUE,EXACT('Run 2'!AO6,'Run 1'!AO6)),IF('Run 3'!N6="",TRUE,EXACT('Run 3'!AO6,'Run 1'!AO6)),IF('Run 4'!N6="",TRUE,EXACT('Run 4'!AO6,'Run 1'!AO6)),IF('Run 5'!N6="",TRUE,EXACT('Run 5'!AO6,'Run 1'!AO6))),1,0))</f>
        <v/>
      </c>
    </row>
    <row r="36">
      <c r="T36">
        <f>IF('Run 1'!O6="","",IF(AND(IF('Run 1'!O6="",TRUE,EXACT('Run 1'!AP6,'Run 1'!AP6)),IF('Run 2'!O6="",TRUE,EXACT('Run 2'!AP6,'Run 1'!AP6)),IF('Run 3'!O6="",TRUE,EXACT('Run 3'!AP6,'Run 1'!AP6)),IF('Run 4'!O6="",TRUE,EXACT('Run 4'!AP6,'Run 1'!AP6)),IF('Run 5'!O6="",TRUE,EXACT('Run 5'!AP6,'Run 1'!AP6))),1,0))</f>
        <v/>
      </c>
    </row>
    <row r="37">
      <c r="T37">
        <f>IF('Run 1'!P6="","",IF(AND(IF('Run 1'!P6="",TRUE,EXACT('Run 1'!AQ6,'Run 1'!AQ6)),IF('Run 2'!P6="",TRUE,EXACT('Run 2'!AQ6,'Run 1'!AQ6)),IF('Run 3'!P6="",TRUE,EXACT('Run 3'!AQ6,'Run 1'!AQ6)),IF('Run 4'!P6="",TRUE,EXACT('Run 4'!AQ6,'Run 1'!AQ6)),IF('Run 5'!P6="",TRUE,EXACT('Run 5'!AQ6,'Run 1'!AQ6))),1,0))</f>
        <v/>
      </c>
    </row>
    <row r="38">
      <c r="T38">
        <f>IF('Run 1'!J7="","",IF(AND(IF('Run 1'!J7="",TRUE,EXACT('Run 1'!AK7,'Run 1'!AK7)),IF('Run 2'!J7="",TRUE,EXACT('Run 2'!AK7,'Run 1'!AK7)),IF('Run 3'!J7="",TRUE,EXACT('Run 3'!AK7,'Run 1'!AK7)),IF('Run 4'!J7="",TRUE,EXACT('Run 4'!AK7,'Run 1'!AK7)),IF('Run 5'!J7="",TRUE,EXACT('Run 5'!AK7,'Run 1'!AK7))),1,0))</f>
        <v/>
      </c>
    </row>
    <row r="39">
      <c r="T39">
        <f>IF('Run 1'!K7="","",IF(AND(IF('Run 1'!K7="",TRUE,EXACT('Run 1'!AL7,'Run 1'!AL7)),IF('Run 2'!K7="",TRUE,EXACT('Run 2'!AL7,'Run 1'!AL7)),IF('Run 3'!K7="",TRUE,EXACT('Run 3'!AL7,'Run 1'!AL7)),IF('Run 4'!K7="",TRUE,EXACT('Run 4'!AL7,'Run 1'!AL7)),IF('Run 5'!K7="",TRUE,EXACT('Run 5'!AL7,'Run 1'!AL7))),1,0))</f>
        <v/>
      </c>
    </row>
    <row r="40">
      <c r="T40">
        <f>IF('Run 1'!L7="","",IF(AND(IF('Run 1'!L7="",TRUE,EXACT('Run 1'!AM7,'Run 1'!AM7)),IF('Run 2'!L7="",TRUE,EXACT('Run 2'!AM7,'Run 1'!AM7)),IF('Run 3'!L7="",TRUE,EXACT('Run 3'!AM7,'Run 1'!AM7)),IF('Run 4'!L7="",TRUE,EXACT('Run 4'!AM7,'Run 1'!AM7)),IF('Run 5'!L7="",TRUE,EXACT('Run 5'!AM7,'Run 1'!AM7))),1,0))</f>
        <v/>
      </c>
    </row>
    <row r="41">
      <c r="T41">
        <f>IF('Run 1'!M7="","",IF(AND(IF('Run 1'!M7="",TRUE,EXACT('Run 1'!AN7,'Run 1'!AN7)),IF('Run 2'!M7="",TRUE,EXACT('Run 2'!AN7,'Run 1'!AN7)),IF('Run 3'!M7="",TRUE,EXACT('Run 3'!AN7,'Run 1'!AN7)),IF('Run 4'!M7="",TRUE,EXACT('Run 4'!AN7,'Run 1'!AN7)),IF('Run 5'!M7="",TRUE,EXACT('Run 5'!AN7,'Run 1'!AN7))),1,0))</f>
        <v/>
      </c>
    </row>
    <row r="42">
      <c r="T42">
        <f>IF('Run 1'!N7="","",IF(AND(IF('Run 1'!N7="",TRUE,EXACT('Run 1'!AO7,'Run 1'!AO7)),IF('Run 2'!N7="",TRUE,EXACT('Run 2'!AO7,'Run 1'!AO7)),IF('Run 3'!N7="",TRUE,EXACT('Run 3'!AO7,'Run 1'!AO7)),IF('Run 4'!N7="",TRUE,EXACT('Run 4'!AO7,'Run 1'!AO7)),IF('Run 5'!N7="",TRUE,EXACT('Run 5'!AO7,'Run 1'!AO7))),1,0))</f>
        <v/>
      </c>
    </row>
    <row r="43">
      <c r="T43">
        <f>IF('Run 1'!O7="","",IF(AND(IF('Run 1'!O7="",TRUE,EXACT('Run 1'!AP7,'Run 1'!AP7)),IF('Run 2'!O7="",TRUE,EXACT('Run 2'!AP7,'Run 1'!AP7)),IF('Run 3'!O7="",TRUE,EXACT('Run 3'!AP7,'Run 1'!AP7)),IF('Run 4'!O7="",TRUE,EXACT('Run 4'!AP7,'Run 1'!AP7)),IF('Run 5'!O7="",TRUE,EXACT('Run 5'!AP7,'Run 1'!AP7))),1,0))</f>
        <v/>
      </c>
    </row>
    <row r="44">
      <c r="T44">
        <f>IF('Run 1'!P7="","",IF(AND(IF('Run 1'!P7="",TRUE,EXACT('Run 1'!AQ7,'Run 1'!AQ7)),IF('Run 2'!P7="",TRUE,EXACT('Run 2'!AQ7,'Run 1'!AQ7)),IF('Run 3'!P7="",TRUE,EXACT('Run 3'!AQ7,'Run 1'!AQ7)),IF('Run 4'!P7="",TRUE,EXACT('Run 4'!AQ7,'Run 1'!AQ7)),IF('Run 5'!P7="",TRUE,EXACT('Run 5'!AQ7,'Run 1'!AQ7))),1,0))</f>
        <v/>
      </c>
    </row>
    <row r="45">
      <c r="T45">
        <f>IF('Run 1'!J8="","",IF(AND(IF('Run 1'!J8="",TRUE,EXACT('Run 1'!AK8,'Run 1'!AK8)),IF('Run 2'!J8="",TRUE,EXACT('Run 2'!AK8,'Run 1'!AK8)),IF('Run 3'!J8="",TRUE,EXACT('Run 3'!AK8,'Run 1'!AK8)),IF('Run 4'!J8="",TRUE,EXACT('Run 4'!AK8,'Run 1'!AK8)),IF('Run 5'!J8="",TRUE,EXACT('Run 5'!AK8,'Run 1'!AK8))),1,0))</f>
        <v/>
      </c>
    </row>
    <row r="46">
      <c r="T46">
        <f>IF('Run 1'!K8="","",IF(AND(IF('Run 1'!K8="",TRUE,EXACT('Run 1'!AL8,'Run 1'!AL8)),IF('Run 2'!K8="",TRUE,EXACT('Run 2'!AL8,'Run 1'!AL8)),IF('Run 3'!K8="",TRUE,EXACT('Run 3'!AL8,'Run 1'!AL8)),IF('Run 4'!K8="",TRUE,EXACT('Run 4'!AL8,'Run 1'!AL8)),IF('Run 5'!K8="",TRUE,EXACT('Run 5'!AL8,'Run 1'!AL8))),1,0))</f>
        <v/>
      </c>
    </row>
    <row r="47">
      <c r="T47">
        <f>IF('Run 1'!L8="","",IF(AND(IF('Run 1'!L8="",TRUE,EXACT('Run 1'!AM8,'Run 1'!AM8)),IF('Run 2'!L8="",TRUE,EXACT('Run 2'!AM8,'Run 1'!AM8)),IF('Run 3'!L8="",TRUE,EXACT('Run 3'!AM8,'Run 1'!AM8)),IF('Run 4'!L8="",TRUE,EXACT('Run 4'!AM8,'Run 1'!AM8)),IF('Run 5'!L8="",TRUE,EXACT('Run 5'!AM8,'Run 1'!AM8))),1,0))</f>
        <v/>
      </c>
    </row>
    <row r="48">
      <c r="T48">
        <f>IF('Run 1'!M8="","",IF(AND(IF('Run 1'!M8="",TRUE,EXACT('Run 1'!AN8,'Run 1'!AN8)),IF('Run 2'!M8="",TRUE,EXACT('Run 2'!AN8,'Run 1'!AN8)),IF('Run 3'!M8="",TRUE,EXACT('Run 3'!AN8,'Run 1'!AN8)),IF('Run 4'!M8="",TRUE,EXACT('Run 4'!AN8,'Run 1'!AN8)),IF('Run 5'!M8="",TRUE,EXACT('Run 5'!AN8,'Run 1'!AN8))),1,0))</f>
        <v/>
      </c>
    </row>
    <row r="49">
      <c r="T49">
        <f>IF('Run 1'!N8="","",IF(AND(IF('Run 1'!N8="",TRUE,EXACT('Run 1'!AO8,'Run 1'!AO8)),IF('Run 2'!N8="",TRUE,EXACT('Run 2'!AO8,'Run 1'!AO8)),IF('Run 3'!N8="",TRUE,EXACT('Run 3'!AO8,'Run 1'!AO8)),IF('Run 4'!N8="",TRUE,EXACT('Run 4'!AO8,'Run 1'!AO8)),IF('Run 5'!N8="",TRUE,EXACT('Run 5'!AO8,'Run 1'!AO8))),1,0))</f>
        <v/>
      </c>
    </row>
    <row r="50">
      <c r="T50">
        <f>IF('Run 1'!O8="","",IF(AND(IF('Run 1'!O8="",TRUE,EXACT('Run 1'!AP8,'Run 1'!AP8)),IF('Run 2'!O8="",TRUE,EXACT('Run 2'!AP8,'Run 1'!AP8)),IF('Run 3'!O8="",TRUE,EXACT('Run 3'!AP8,'Run 1'!AP8)),IF('Run 4'!O8="",TRUE,EXACT('Run 4'!AP8,'Run 1'!AP8)),IF('Run 5'!O8="",TRUE,EXACT('Run 5'!AP8,'Run 1'!AP8))),1,0))</f>
        <v/>
      </c>
    </row>
    <row r="51">
      <c r="T51">
        <f>IF('Run 1'!P8="","",IF(AND(IF('Run 1'!P8="",TRUE,EXACT('Run 1'!AQ8,'Run 1'!AQ8)),IF('Run 2'!P8="",TRUE,EXACT('Run 2'!AQ8,'Run 1'!AQ8)),IF('Run 3'!P8="",TRUE,EXACT('Run 3'!AQ8,'Run 1'!AQ8)),IF('Run 4'!P8="",TRUE,EXACT('Run 4'!AQ8,'Run 1'!AQ8)),IF('Run 5'!P8="",TRUE,EXACT('Run 5'!AQ8,'Run 1'!AQ8))),1,0))</f>
        <v/>
      </c>
    </row>
    <row r="52">
      <c r="T52">
        <f>IF('Run 1'!J9="","",IF(AND(IF('Run 1'!J9="",TRUE,EXACT('Run 1'!AK9,'Run 1'!AK9)),IF('Run 2'!J9="",TRUE,EXACT('Run 2'!AK9,'Run 1'!AK9)),IF('Run 3'!J9="",TRUE,EXACT('Run 3'!AK9,'Run 1'!AK9)),IF('Run 4'!J9="",TRUE,EXACT('Run 4'!AK9,'Run 1'!AK9)),IF('Run 5'!J9="",TRUE,EXACT('Run 5'!AK9,'Run 1'!AK9))),1,0))</f>
        <v/>
      </c>
    </row>
    <row r="53">
      <c r="T53">
        <f>IF('Run 1'!K9="","",IF(AND(IF('Run 1'!K9="",TRUE,EXACT('Run 1'!AL9,'Run 1'!AL9)),IF('Run 2'!K9="",TRUE,EXACT('Run 2'!AL9,'Run 1'!AL9)),IF('Run 3'!K9="",TRUE,EXACT('Run 3'!AL9,'Run 1'!AL9)),IF('Run 4'!K9="",TRUE,EXACT('Run 4'!AL9,'Run 1'!AL9)),IF('Run 5'!K9="",TRUE,EXACT('Run 5'!AL9,'Run 1'!AL9))),1,0))</f>
        <v/>
      </c>
    </row>
    <row r="54">
      <c r="T54">
        <f>IF('Run 1'!L9="","",IF(AND(IF('Run 1'!L9="",TRUE,EXACT('Run 1'!AM9,'Run 1'!AM9)),IF('Run 2'!L9="",TRUE,EXACT('Run 2'!AM9,'Run 1'!AM9)),IF('Run 3'!L9="",TRUE,EXACT('Run 3'!AM9,'Run 1'!AM9)),IF('Run 4'!L9="",TRUE,EXACT('Run 4'!AM9,'Run 1'!AM9)),IF('Run 5'!L9="",TRUE,EXACT('Run 5'!AM9,'Run 1'!AM9))),1,0))</f>
        <v/>
      </c>
    </row>
    <row r="55">
      <c r="T55">
        <f>IF('Run 1'!M9="","",IF(AND(IF('Run 1'!M9="",TRUE,EXACT('Run 1'!AN9,'Run 1'!AN9)),IF('Run 2'!M9="",TRUE,EXACT('Run 2'!AN9,'Run 1'!AN9)),IF('Run 3'!M9="",TRUE,EXACT('Run 3'!AN9,'Run 1'!AN9)),IF('Run 4'!M9="",TRUE,EXACT('Run 4'!AN9,'Run 1'!AN9)),IF('Run 5'!M9="",TRUE,EXACT('Run 5'!AN9,'Run 1'!AN9))),1,0))</f>
        <v/>
      </c>
    </row>
    <row r="56">
      <c r="T56">
        <f>IF('Run 1'!N9="","",IF(AND(IF('Run 1'!N9="",TRUE,EXACT('Run 1'!AO9,'Run 1'!AO9)),IF('Run 2'!N9="",TRUE,EXACT('Run 2'!AO9,'Run 1'!AO9)),IF('Run 3'!N9="",TRUE,EXACT('Run 3'!AO9,'Run 1'!AO9)),IF('Run 4'!N9="",TRUE,EXACT('Run 4'!AO9,'Run 1'!AO9)),IF('Run 5'!N9="",TRUE,EXACT('Run 5'!AO9,'Run 1'!AO9))),1,0))</f>
        <v/>
      </c>
    </row>
    <row r="57">
      <c r="T57">
        <f>IF('Run 1'!O9="","",IF(AND(IF('Run 1'!O9="",TRUE,EXACT('Run 1'!AP9,'Run 1'!AP9)),IF('Run 2'!O9="",TRUE,EXACT('Run 2'!AP9,'Run 1'!AP9)),IF('Run 3'!O9="",TRUE,EXACT('Run 3'!AP9,'Run 1'!AP9)),IF('Run 4'!O9="",TRUE,EXACT('Run 4'!AP9,'Run 1'!AP9)),IF('Run 5'!O9="",TRUE,EXACT('Run 5'!AP9,'Run 1'!AP9))),1,0))</f>
        <v/>
      </c>
    </row>
    <row r="58">
      <c r="T58">
        <f>IF('Run 1'!P9="","",IF(AND(IF('Run 1'!P9="",TRUE,EXACT('Run 1'!AQ9,'Run 1'!AQ9)),IF('Run 2'!P9="",TRUE,EXACT('Run 2'!AQ9,'Run 1'!AQ9)),IF('Run 3'!P9="",TRUE,EXACT('Run 3'!AQ9,'Run 1'!AQ9)),IF('Run 4'!P9="",TRUE,EXACT('Run 4'!AQ9,'Run 1'!AQ9)),IF('Run 5'!P9="",TRUE,EXACT('Run 5'!AQ9,'Run 1'!AQ9))),1,0))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2026-07-20T09:59:12Z</dcterms:created>
  <dcterms:modified xmlns:dcterms="http://purl.org/dc/terms/" xmlns:xsi="http://www.w3.org/2001/XMLSchema-instance" xsi:type="dcterms:W3CDTF">2026-07-20T09:59:12Z</dcterms:modified>
</cp:coreProperties>
</file>