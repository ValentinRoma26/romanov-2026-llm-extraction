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① Start Here" sheetId="1" state="visible" r:id="rId3"/>
    <sheet name="Run 1" sheetId="2" state="visible" r:id="rId4"/>
    <sheet name="Run 2" sheetId="3" state="visible" r:id="rId5"/>
    <sheet name="Run 3" sheetId="4" state="visible" r:id="rId6"/>
    <sheet name="Run 4" sheetId="5" state="visible" r:id="rId7"/>
    <sheet name="Run 5" sheetId="6" state="visible" r:id="rId8"/>
    <sheet name="Scoreboard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<sst xmlns="http://schemas.openxmlformats.org/spreadsheetml/2006/main" count="415" uniqueCount="83">
  <si>
    <t xml:space="preserve">ref13 scoring template</t>
  </si>
  <si>
    <t xml:space="preserve">Paste one model answer for ref13 into a Run tab. The workbook compares its 42 fields with the six-row benchmark.</t>
  </si>
  <si>
    <t xml:space="preserve">HOW TO USE IT</t>
  </si>
  <si>
    <t xml:space="preserve">1.  Go to the 'Run 1' tab.</t>
  </si>
  <si>
    <t xml:space="preserve">2.  Match each model row to the grey benchmark row with the same complex and Mg condition.</t>
  </si>
  <si>
    <t xml:space="preserve">3.  Paste the model's 7 values into the blue cells on that row. Fill all 42 blue cells.</t>
  </si>
  <si>
    <t xml:space="preserve">4.  Green cells show 1 (match) or 0 (miss). Auto /7 totals the seven checks.</t>
  </si>
  <si>
    <t xml:space="preserve">5.  The checker accepts common units and punctuation. If a true equivalent still scores 0,</t>
  </si>
  <si>
    <t xml:space="preserve">     enter a corrected whole-row score from 0 to 7 in the yellow Your /7 cell.</t>
  </si>
  <si>
    <t xml:space="preserve">6.  Quick path: complete Run 1. Full path: repeat in fresh chats for Runs 2–5.</t>
  </si>
  <si>
    <t xml:space="preserve">7.  Scoreboard shows accuracy for completed runs. Consistency appears after all 5 runs.</t>
  </si>
  <si>
    <t xml:space="preserve">GOOD TO KNOW</t>
  </si>
  <si>
    <t xml:space="preserve">•  Use the workbook on screen; its Run tabs are too wide for useful printing.</t>
  </si>
  <si>
    <t xml:space="preserve">•  The target is Table I's six K2 rows: TnC, TnI·TnC, and Reconstituted Tn.</t>
  </si>
  <si>
    <t xml:space="preserve">•  Ignore extra high-affinity K1 rows. Record their count in the yellow box if useful.</t>
  </si>
  <si>
    <t xml:space="preserve">•  The Scoreboard says Incomplete until every blue cell in a run is filled.</t>
  </si>
  <si>
    <t xml:space="preserve">•  If the answer is not one clean table, use prompts/2-normalizer-prompt.md first.</t>
  </si>
  <si>
    <t xml:space="preserve">•  Edit only blue and yellow cells.</t>
  </si>
  <si>
    <t xml:space="preserve">RUN 1</t>
  </si>
  <si>
    <t xml:space="preserve">Paste the model's seven values into BLUE cells. Fill all 42 blue cells; GREEN cells check them.</t>
  </si>
  <si>
    <t xml:space="preserve">BENCHMARK — do not edit</t>
  </si>
  <si>
    <t xml:space="preserve">YOUR MODEL — paste values here</t>
  </si>
  <si>
    <t xml:space="preserve">AUTO-CHECK (rough — you have the final say)</t>
  </si>
  <si>
    <t xml:space="preserve">SCORE</t>
  </si>
  <si>
    <t xml:space="preserve">Row</t>
  </si>
  <si>
    <t xml:space="preserve">Species</t>
  </si>
  <si>
    <t xml:space="preserve">Temp (°C)</t>
  </si>
  <si>
    <t xml:space="preserve">Troponin complex</t>
  </si>
  <si>
    <t xml:space="preserve">Measurement</t>
  </si>
  <si>
    <t xml:space="preserve">Mg (mM)</t>
  </si>
  <si>
    <t xml:space="preserve">Ka (M^-1)</t>
  </si>
  <si>
    <t xml:space="preserve">Kd (µM)</t>
  </si>
  <si>
    <t xml:space="preserve">Auto /7</t>
  </si>
  <si>
    <t xml:space="preserve">Your /7 (edit only if you disagree)</t>
  </si>
  <si>
    <t xml:space="preserve">Final /7</t>
  </si>
  <si>
    <t xml:space="preserve">norm(GT):Species</t>
  </si>
  <si>
    <t xml:space="preserve">norm(GT):Temp (°C)</t>
  </si>
  <si>
    <t xml:space="preserve">norm(GT):Troponin complex</t>
  </si>
  <si>
    <t xml:space="preserve">norm(GT):Measurement</t>
  </si>
  <si>
    <t xml:space="preserve">norm(GT):Mg (mM)</t>
  </si>
  <si>
    <t xml:space="preserve">norm(GT):Ka (M^-1)</t>
  </si>
  <si>
    <t xml:space="preserve">norm(GT):Kd (µM)</t>
  </si>
  <si>
    <t xml:space="preserve">norm(you):Species</t>
  </si>
  <si>
    <t xml:space="preserve">norm(you):Temp (°C)</t>
  </si>
  <si>
    <t xml:space="preserve">norm(you):Troponin complex</t>
  </si>
  <si>
    <t xml:space="preserve">norm(you):Measurement</t>
  </si>
  <si>
    <t xml:space="preserve">norm(you):Mg (mM)</t>
  </si>
  <si>
    <t xml:space="preserve">norm(you):Ka (M^-1)</t>
  </si>
  <si>
    <t xml:space="preserve">norm(you):Kd (µM)</t>
  </si>
  <si>
    <t xml:space="preserve">Bovine</t>
  </si>
  <si>
    <t xml:space="preserve">TnC</t>
  </si>
  <si>
    <t xml:space="preserve">SC</t>
  </si>
  <si>
    <t xml:space="preserve">None</t>
  </si>
  <si>
    <t xml:space="preserve">2.5 x 10^5</t>
  </si>
  <si>
    <t xml:space="preserve">TnI·TnC</t>
  </si>
  <si>
    <t xml:space="preserve">1 x 10^6</t>
  </si>
  <si>
    <t xml:space="preserve">Reconstituted Tn</t>
  </si>
  <si>
    <t xml:space="preserve">2.5 x 10^6</t>
  </si>
  <si>
    <t xml:space="preserve">RUN TOTAL:</t>
  </si>
  <si>
    <t xml:space="preserve">out of 42</t>
  </si>
  <si>
    <t xml:space="preserve">Accuracy % →</t>
  </si>
  <si>
    <t xml:space="preserve">Extra rows your model produced beyond these 6 (optional, for feedback):</t>
  </si>
  <si>
    <t xml:space="preserve">RUN 2</t>
  </si>
  <si>
    <t xml:space="preserve">RUN 3</t>
  </si>
  <si>
    <t xml:space="preserve">RUN 4</t>
  </si>
  <si>
    <t xml:space="preserve">RUN 5</t>
  </si>
  <si>
    <t xml:space="preserve">Scoreboard</t>
  </si>
  <si>
    <t xml:space="preserve">Accuracy against the benchmark (how correct)</t>
  </si>
  <si>
    <t xml:space="preserve">Run</t>
  </si>
  <si>
    <t xml:space="preserve">Fields correct /42</t>
  </si>
  <si>
    <t xml:space="preserve">Accuracy %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</si>
  <si>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</si>
  <si>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</si>
  <si>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</si>
  <si>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</si>
  <si>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</si>
  <si>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Average (completed runs)</t>
  </si>
  <si>
    <t xml:space="preserve">Consistency across runs (how repeatable)</t>
  </si>
  <si>
    <t xml:space="preserve">Of the 42 fields, the share where all five completed runs gave the same normalized value.</t>
  </si>
  <si>
    <t xml:space="preserve">Consistent fields:</t>
  </si>
  <si>
    <t xml:space="preserve">Fields compared:</t>
  </si>
  <si>
    <t xml:space="preserve">Consistency %:</t>
  </si>
  <si>
    <t xml:space="preserve">(Consistency appears only after all five runs are complete.)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</si>
</sst>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-* #,##0.00_-;\-* #,##0.00_-;_-* \-??_-;_-@_-"/>
    <numFmt numFmtId="166" formatCode="_-* #,##0_-;\-* #,##0_-;_-* \-_-;_-@_-"/>
    <numFmt numFmtId="167" formatCode="_-\$* #,##0.00_-;&quot;-$&quot;* #,##0.00_-;_-\$* \-??_-;_-@_-"/>
    <numFmt numFmtId="168" formatCode="_-\$* #,##0_-;&quot;-$&quot;* #,##0_-;_-\$* \-_-;_-@_-"/>
    <numFmt numFmtId="169" formatCode="0%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0"/>
      <charset val="1"/>
    </font>
    <font>
      <b val="true"/>
      <sz val="14"/>
      <color rgb="FF1F3864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0"/>
      <color rgb="FF595959"/>
      <name val="Cambria"/>
      <family val="0"/>
      <charset val="1"/>
    </font>
    <font>
      <b val="true"/>
      <sz val="10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C9CDD6"/>
        <bgColor rgb="FFBDD7EE"/>
      </patternFill>
    </fill>
    <fill>
      <patternFill patternType="solid">
        <fgColor rgb="FFBDD7EE"/>
        <bgColor rgb="FFC9CDD6"/>
      </patternFill>
    </fill>
    <fill>
      <patternFill patternType="solid">
        <fgColor rgb="FFE2EFDA"/>
        <bgColor rgb="FFDEEBF7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DEEBF7"/>
        <bgColor rgb="FFE2EFDA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2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2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2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25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2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25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25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" xfId="25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2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25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25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DD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B0B0B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0" t="s">
        <v>1</v>
      </c>
    </row>
    <row r="6" customFormat="false" ht="15" hidden="false" customHeight="false" outlineLevel="0" collapsed="false">
      <c r="B6" s="2" t="s">
        <v>2</v>
      </c>
    </row>
    <row r="8" customFormat="false" ht="15" hidden="false" customHeight="false" outlineLevel="0" collapsed="false">
      <c r="B8" s="0" t="s">
        <v>3</v>
      </c>
    </row>
    <row r="9" customFormat="false" ht="15" hidden="false" customHeight="false" outlineLevel="0" collapsed="false">
      <c r="B9" s="0" t="s">
        <v>4</v>
      </c>
    </row>
    <row r="10" customFormat="false" ht="15" hidden="false" customHeight="false" outlineLevel="0" collapsed="false">
      <c r="B10" s="0" t="s">
        <v>5</v>
      </c>
    </row>
    <row r="11" customFormat="false" ht="15" hidden="false" customHeight="false" outlineLevel="0" collapsed="false">
      <c r="B11" s="0" t="s">
        <v>6</v>
      </c>
    </row>
    <row r="12" customFormat="false" ht="15" hidden="false" customHeight="false" outlineLevel="0" collapsed="false">
      <c r="B12" s="0" t="s">
        <v>7</v>
      </c>
    </row>
    <row r="13" customFormat="false" ht="15" hidden="false" customHeight="false" outlineLevel="0" collapsed="false">
      <c r="B13" s="0" t="s">
        <v>8</v>
      </c>
    </row>
    <row r="14" customFormat="false" ht="15" hidden="false" customHeight="false" outlineLevel="0" collapsed="false">
      <c r="B14" s="0" t="s">
        <v>9</v>
      </c>
    </row>
    <row r="16" customFormat="false" ht="15" hidden="false" customHeight="false" outlineLevel="0" collapsed="false">
      <c r="B16" s="0" t="s">
        <v>10</v>
      </c>
    </row>
    <row r="19" customFormat="false" ht="15" hidden="false" customHeight="false" outlineLevel="0" collapsed="false">
      <c r="B19" s="0" t="s">
        <v>11</v>
      </c>
    </row>
    <row r="20" customFormat="false" ht="15" hidden="false" customHeight="false" outlineLevel="0" collapsed="false">
      <c r="B20" s="0" t="s">
        <v>12</v>
      </c>
    </row>
    <row r="21" customFormat="false" ht="15" hidden="false" customHeight="false" outlineLevel="0" collapsed="false">
      <c r="B21" s="0" t="s">
        <v>13</v>
      </c>
    </row>
    <row r="22" customFormat="false" ht="15" hidden="false" customHeight="false" outlineLevel="0" collapsed="false">
      <c r="B22" s="0" t="s">
        <v>14</v>
      </c>
    </row>
    <row r="23" customFormat="false" ht="15" hidden="false" customHeight="false" outlineLevel="0" collapsed="false">
      <c r="B23" s="2" t="s">
        <v>15</v>
      </c>
    </row>
    <row r="24" customFormat="false" ht="15" hidden="false" customHeight="false" outlineLevel="0" collapsed="false">
      <c r="B24" s="0" t="s">
        <v>16</v>
      </c>
    </row>
    <row r="25" customFormat="false" ht="15" hidden="false" customHeight="false" outlineLevel="0" collapsed="false">
      <c r="B25" s="0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18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62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63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64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65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T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true" outlineLevel="0" max="20" min="20" style="0" width="13"/>
  </cols>
  <sheetData>
    <row r="2" customFormat="false" ht="17.35" hidden="false" customHeight="false" outlineLevel="0" collapsed="false">
      <c r="B2" s="1" t="s">
        <v>66</v>
      </c>
    </row>
    <row r="4" customFormat="false" ht="15" hidden="false" customHeight="false" outlineLevel="0" collapsed="false">
      <c r="B4" s="2" t="s">
        <v>67</v>
      </c>
    </row>
    <row r="5" customFormat="false" ht="15" hidden="false" customHeight="false" outlineLevel="0" collapsed="false">
      <c r="B5" s="17" t="s">
        <v>68</v>
      </c>
      <c r="C5" s="17" t="s">
        <v>69</v>
      </c>
      <c r="D5" s="17" t="s">
        <v>70</v>
      </c>
    </row>
    <row r="6" customFormat="false" ht="15" hidden="false" customHeight="false" outlineLevel="0" collapsed="false">
      <c r="B6" s="10" t="s">
        <v>71</v>
      </c>
      <c r="C6" s="10" t="str">
        <f aca="false">IF(COUNTBLANK('Run 1'!J4:P9)=0,SUM('Run 1'!AA4:AA9),"Incomplete")</f>
        <v>Incomplete</v>
      </c>
      <c r="D6" s="18" t="str">
        <f aca="false">IF(C6="Incomplete","—",C6/42)</f>
        <v>—</v>
      </c>
    </row>
    <row r="7" customFormat="false" ht="15" hidden="false" customHeight="false" outlineLevel="0" collapsed="false">
      <c r="B7" s="10" t="s">
        <v>72</v>
      </c>
      <c r="C7" s="10" t="str">
        <f aca="false">IF(COUNTBLANK('Run 2'!J4:P9)=0,SUM('Run 2'!AA4:AA9),"Incomplete")</f>
        <v>Incomplete</v>
      </c>
      <c r="D7" s="18" t="str">
        <f aca="false">IF(C7="Incomplete","—",C7/42)</f>
        <v>—</v>
      </c>
    </row>
    <row r="8" customFormat="false" ht="15" hidden="false" customHeight="false" outlineLevel="0" collapsed="false">
      <c r="B8" s="10" t="s">
        <v>73</v>
      </c>
      <c r="C8" s="10" t="str">
        <f aca="false">IF(COUNTBLANK('Run 3'!J4:P9)=0,SUM('Run 3'!AA4:AA9),"Incomplete")</f>
        <v>Incomplete</v>
      </c>
      <c r="D8" s="18" t="str">
        <f aca="false">IF(C8="Incomplete","—",C8/42)</f>
        <v>—</v>
      </c>
    </row>
    <row r="9" customFormat="false" ht="15" hidden="false" customHeight="false" outlineLevel="0" collapsed="false">
      <c r="B9" s="10" t="s">
        <v>74</v>
      </c>
      <c r="C9" s="10" t="str">
        <f aca="false">IF(COUNTBLANK('Run 4'!J4:P9)=0,SUM('Run 4'!AA4:AA9),"Incomplete")</f>
        <v>Incomplete</v>
      </c>
      <c r="D9" s="18" t="str">
        <f aca="false">IF(C9="Incomplete","—",C9/42)</f>
        <v>—</v>
      </c>
    </row>
    <row r="10" customFormat="false" ht="15" hidden="false" customHeight="false" outlineLevel="0" collapsed="false">
      <c r="B10" s="10" t="s">
        <v>75</v>
      </c>
      <c r="C10" s="10" t="str">
        <f aca="false">IF(COUNTBLANK('Run 5'!J4:P9)=0,SUM('Run 5'!AA4:AA9),"Incomplete")</f>
        <v>Incomplete</v>
      </c>
      <c r="D10" s="18" t="str">
        <f aca="false">IF(C10="Incomplete","—",C10/42)</f>
        <v>—</v>
      </c>
    </row>
    <row r="11" customFormat="false" ht="15" hidden="false" customHeight="false" outlineLevel="0" collapsed="false">
      <c r="B11" s="2" t="s">
        <v>76</v>
      </c>
      <c r="D11" s="19" t="str">
        <f aca="false">IFERROR(AVERAGE(D6:D10),"—")</f>
        <v>—</v>
      </c>
    </row>
    <row r="14" customFormat="false" ht="15" hidden="false" customHeight="false" outlineLevel="0" collapsed="false">
      <c r="B14" s="2" t="s">
        <v>77</v>
      </c>
    </row>
    <row r="15" customFormat="false" ht="15" hidden="false" customHeight="false" outlineLevel="0" collapsed="false">
      <c r="B15" s="3" t="s">
        <v>78</v>
      </c>
    </row>
    <row r="17" customFormat="false" ht="15" hidden="false" customHeight="false" outlineLevel="0" collapsed="false">
      <c r="C17" s="3" t="s">
        <v>79</v>
      </c>
      <c r="D17" s="0" t="str">
        <f aca="false">IF(COUNT(T17:T58)=42,SUM(T17:T58),"—")</f>
        <v>—</v>
      </c>
      <c r="T17" s="0" t="str">
        <f aca="false">IF(AND(COUNTBLANK('Run 1'!J4:P9)=0,COUNTBLANK('Run 2'!J4:P9)=0,COUNTBLANK('Run 3'!J4:P9)=0,COUNTBLANK('Run 4'!J4:P9)=0,COUNTBLANK('Run 5'!J4:P9)=0),IF(AND(EXACT('Run 2'!AK4,'Run 1'!AK4),EXACT('Run 3'!AK4,'Run 1'!AK4),EXACT('Run 4'!AK4,'Run 1'!AK4),EXACT('Run 5'!AK4,'Run 1'!AK4)),1,0),"")</f>
        <v/>
      </c>
    </row>
    <row r="18" customFormat="false" ht="15" hidden="false" customHeight="false" outlineLevel="0" collapsed="false">
      <c r="C18" s="3" t="s">
        <v>80</v>
      </c>
      <c r="D18" s="0" t="str">
        <f aca="false">IF(COUNT(T17:T58)=42,42,"—")</f>
        <v>—</v>
      </c>
      <c r="T18" s="0" t="str">
        <f aca="false">IF(AND(COUNTBLANK('Run 1'!J4:P9)=0,COUNTBLANK('Run 2'!J4:P9)=0,COUNTBLANK('Run 3'!J4:P9)=0,COUNTBLANK('Run 4'!J4:P9)=0,COUNTBLANK('Run 5'!J4:P9)=0),IF(AND(EXACT('Run 2'!AL4,'Run 1'!AL4),EXACT('Run 3'!AL4,'Run 1'!AL4),EXACT('Run 4'!AL4,'Run 1'!AL4),EXACT('Run 5'!AL4,'Run 1'!AL4)),1,0),"")</f>
        <v/>
      </c>
    </row>
    <row r="19" customFormat="false" ht="15" hidden="false" customHeight="false" outlineLevel="0" collapsed="false">
      <c r="C19" s="2" t="s">
        <v>81</v>
      </c>
      <c r="D19" s="19" t="str">
        <f aca="false">IF(COUNT(T17:T58)=42,D17/D18,"—")</f>
        <v>—</v>
      </c>
      <c r="T19" s="0" t="str">
        <f aca="false">IF(AND(COUNTBLANK('Run 1'!J4:P9)=0,COUNTBLANK('Run 2'!J4:P9)=0,COUNTBLANK('Run 3'!J4:P9)=0,COUNTBLANK('Run 4'!J4:P9)=0,COUNTBLANK('Run 5'!J4:P9)=0),IF(AND(EXACT('Run 2'!AM4,'Run 1'!AM4),EXACT('Run 3'!AM4,'Run 1'!AM4),EXACT('Run 4'!AM4,'Run 1'!AM4),EXACT('Run 5'!AM4,'Run 1'!AM4)),1,0),"")</f>
        <v/>
      </c>
    </row>
    <row r="20" customFormat="false" ht="15" hidden="false" customHeight="false" outlineLevel="0" collapsed="false">
      <c r="T20" s="0" t="str">
        <f aca="false">IF(AND(COUNTBLANK('Run 1'!J4:P9)=0,COUNTBLANK('Run 2'!J4:P9)=0,COUNTBLANK('Run 3'!J4:P9)=0,COUNTBLANK('Run 4'!J4:P9)=0,COUNTBLANK('Run 5'!J4:P9)=0),IF(AND(EXACT('Run 2'!AN4,'Run 1'!AN4),EXACT('Run 3'!AN4,'Run 1'!AN4),EXACT('Run 4'!AN4,'Run 1'!AN4),EXACT('Run 5'!AN4,'Run 1'!AN4)),1,0),"")</f>
        <v/>
      </c>
    </row>
    <row r="21" customFormat="false" ht="15" hidden="false" customHeight="false" outlineLevel="0" collapsed="false">
      <c r="B21" s="3" t="s">
        <v>82</v>
      </c>
      <c r="T21" s="0" t="str">
        <f aca="false">IF(AND(COUNTBLANK('Run 1'!J4:P9)=0,COUNTBLANK('Run 2'!J4:P9)=0,COUNTBLANK('Run 3'!J4:P9)=0,COUNTBLANK('Run 4'!J4:P9)=0,COUNTBLANK('Run 5'!J4:P9)=0),IF(AND(EXACT('Run 2'!AO4,'Run 1'!AO4),EXACT('Run 3'!AO4,'Run 1'!AO4),EXACT('Run 4'!AO4,'Run 1'!AO4),EXACT('Run 5'!AO4,'Run 1'!AO4)),1,0),"")</f>
        <v/>
      </c>
    </row>
    <row r="22" customFormat="false" ht="15" hidden="false" customHeight="false" outlineLevel="0" collapsed="false">
      <c r="T22" s="0" t="str">
        <f aca="false">IF(AND(COUNTBLANK('Run 1'!J4:P9)=0,COUNTBLANK('Run 2'!J4:P9)=0,COUNTBLANK('Run 3'!J4:P9)=0,COUNTBLANK('Run 4'!J4:P9)=0,COUNTBLANK('Run 5'!J4:P9)=0),IF(AND(EXACT('Run 2'!AP4,'Run 1'!AP4),EXACT('Run 3'!AP4,'Run 1'!AP4),EXACT('Run 4'!AP4,'Run 1'!AP4),EXACT('Run 5'!AP4,'Run 1'!AP4)),1,0),"")</f>
        <v/>
      </c>
    </row>
    <row r="23" customFormat="false" ht="15" hidden="false" customHeight="false" outlineLevel="0" collapsed="false">
      <c r="T23" s="0" t="str">
        <f aca="false">IF(AND(COUNTBLANK('Run 1'!J4:P9)=0,COUNTBLANK('Run 2'!J4:P9)=0,COUNTBLANK('Run 3'!J4:P9)=0,COUNTBLANK('Run 4'!J4:P9)=0,COUNTBLANK('Run 5'!J4:P9)=0),IF(AND(EXACT('Run 2'!AQ4,'Run 1'!AQ4),EXACT('Run 3'!AQ4,'Run 1'!AQ4),EXACT('Run 4'!AQ4,'Run 1'!AQ4),EXACT('Run 5'!AQ4,'Run 1'!AQ4)),1,0),"")</f>
        <v/>
      </c>
    </row>
    <row r="24" customFormat="false" ht="15" hidden="false" customHeight="false" outlineLevel="0" collapsed="false">
      <c r="T24" s="0" t="str">
        <f aca="false">IF(AND(COUNTBLANK('Run 1'!J4:P9)=0,COUNTBLANK('Run 2'!J4:P9)=0,COUNTBLANK('Run 3'!J4:P9)=0,COUNTBLANK('Run 4'!J4:P9)=0,COUNTBLANK('Run 5'!J4:P9)=0),IF(AND(EXACT('Run 2'!AK5,'Run 1'!AK5),EXACT('Run 3'!AK5,'Run 1'!AK5),EXACT('Run 4'!AK5,'Run 1'!AK5),EXACT('Run 5'!AK5,'Run 1'!AK5)),1,0),"")</f>
        <v/>
      </c>
    </row>
    <row r="25" customFormat="false" ht="15" hidden="false" customHeight="false" outlineLevel="0" collapsed="false">
      <c r="T25" s="0" t="str">
        <f aca="false">IF(AND(COUNTBLANK('Run 1'!J4:P9)=0,COUNTBLANK('Run 2'!J4:P9)=0,COUNTBLANK('Run 3'!J4:P9)=0,COUNTBLANK('Run 4'!J4:P9)=0,COUNTBLANK('Run 5'!J4:P9)=0),IF(AND(EXACT('Run 2'!AL5,'Run 1'!AL5),EXACT('Run 3'!AL5,'Run 1'!AL5),EXACT('Run 4'!AL5,'Run 1'!AL5),EXACT('Run 5'!AL5,'Run 1'!AL5)),1,0),"")</f>
        <v/>
      </c>
    </row>
    <row r="26" customFormat="false" ht="15" hidden="false" customHeight="false" outlineLevel="0" collapsed="false">
      <c r="T26" s="0" t="str">
        <f aca="false">IF(AND(COUNTBLANK('Run 1'!J4:P9)=0,COUNTBLANK('Run 2'!J4:P9)=0,COUNTBLANK('Run 3'!J4:P9)=0,COUNTBLANK('Run 4'!J4:P9)=0,COUNTBLANK('Run 5'!J4:P9)=0),IF(AND(EXACT('Run 2'!AM5,'Run 1'!AM5),EXACT('Run 3'!AM5,'Run 1'!AM5),EXACT('Run 4'!AM5,'Run 1'!AM5),EXACT('Run 5'!AM5,'Run 1'!AM5)),1,0),"")</f>
        <v/>
      </c>
    </row>
    <row r="27" customFormat="false" ht="15" hidden="false" customHeight="false" outlineLevel="0" collapsed="false">
      <c r="T27" s="0" t="str">
        <f aca="false">IF(AND(COUNTBLANK('Run 1'!J4:P9)=0,COUNTBLANK('Run 2'!J4:P9)=0,COUNTBLANK('Run 3'!J4:P9)=0,COUNTBLANK('Run 4'!J4:P9)=0,COUNTBLANK('Run 5'!J4:P9)=0),IF(AND(EXACT('Run 2'!AN5,'Run 1'!AN5),EXACT('Run 3'!AN5,'Run 1'!AN5),EXACT('Run 4'!AN5,'Run 1'!AN5),EXACT('Run 5'!AN5,'Run 1'!AN5)),1,0),"")</f>
        <v/>
      </c>
    </row>
    <row r="28" customFormat="false" ht="15" hidden="false" customHeight="false" outlineLevel="0" collapsed="false">
      <c r="T28" s="0" t="str">
        <f aca="false">IF(AND(COUNTBLANK('Run 1'!J4:P9)=0,COUNTBLANK('Run 2'!J4:P9)=0,COUNTBLANK('Run 3'!J4:P9)=0,COUNTBLANK('Run 4'!J4:P9)=0,COUNTBLANK('Run 5'!J4:P9)=0),IF(AND(EXACT('Run 2'!AO5,'Run 1'!AO5),EXACT('Run 3'!AO5,'Run 1'!AO5),EXACT('Run 4'!AO5,'Run 1'!AO5),EXACT('Run 5'!AO5,'Run 1'!AO5)),1,0),"")</f>
        <v/>
      </c>
    </row>
    <row r="29" customFormat="false" ht="15" hidden="false" customHeight="false" outlineLevel="0" collapsed="false">
      <c r="T29" s="0" t="str">
        <f aca="false">IF(AND(COUNTBLANK('Run 1'!J4:P9)=0,COUNTBLANK('Run 2'!J4:P9)=0,COUNTBLANK('Run 3'!J4:P9)=0,COUNTBLANK('Run 4'!J4:P9)=0,COUNTBLANK('Run 5'!J4:P9)=0),IF(AND(EXACT('Run 2'!AP5,'Run 1'!AP5),EXACT('Run 3'!AP5,'Run 1'!AP5),EXACT('Run 4'!AP5,'Run 1'!AP5),EXACT('Run 5'!AP5,'Run 1'!AP5)),1,0),"")</f>
        <v/>
      </c>
    </row>
    <row r="30" customFormat="false" ht="15" hidden="false" customHeight="false" outlineLevel="0" collapsed="false">
      <c r="T30" s="0" t="str">
        <f aca="false">IF(AND(COUNTBLANK('Run 1'!J4:P9)=0,COUNTBLANK('Run 2'!J4:P9)=0,COUNTBLANK('Run 3'!J4:P9)=0,COUNTBLANK('Run 4'!J4:P9)=0,COUNTBLANK('Run 5'!J4:P9)=0),IF(AND(EXACT('Run 2'!AQ5,'Run 1'!AQ5),EXACT('Run 3'!AQ5,'Run 1'!AQ5),EXACT('Run 4'!AQ5,'Run 1'!AQ5),EXACT('Run 5'!AQ5,'Run 1'!AQ5)),1,0),"")</f>
        <v/>
      </c>
    </row>
    <row r="31" customFormat="false" ht="15" hidden="false" customHeight="false" outlineLevel="0" collapsed="false">
      <c r="T31" s="0" t="str">
        <f aca="false">IF(AND(COUNTBLANK('Run 1'!J4:P9)=0,COUNTBLANK('Run 2'!J4:P9)=0,COUNTBLANK('Run 3'!J4:P9)=0,COUNTBLANK('Run 4'!J4:P9)=0,COUNTBLANK('Run 5'!J4:P9)=0),IF(AND(EXACT('Run 2'!AK6,'Run 1'!AK6),EXACT('Run 3'!AK6,'Run 1'!AK6),EXACT('Run 4'!AK6,'Run 1'!AK6),EXACT('Run 5'!AK6,'Run 1'!AK6)),1,0),"")</f>
        <v/>
      </c>
    </row>
    <row r="32" customFormat="false" ht="15" hidden="false" customHeight="false" outlineLevel="0" collapsed="false">
      <c r="T32" s="0" t="str">
        <f aca="false">IF(AND(COUNTBLANK('Run 1'!J4:P9)=0,COUNTBLANK('Run 2'!J4:P9)=0,COUNTBLANK('Run 3'!J4:P9)=0,COUNTBLANK('Run 4'!J4:P9)=0,COUNTBLANK('Run 5'!J4:P9)=0),IF(AND(EXACT('Run 2'!AL6,'Run 1'!AL6),EXACT('Run 3'!AL6,'Run 1'!AL6),EXACT('Run 4'!AL6,'Run 1'!AL6),EXACT('Run 5'!AL6,'Run 1'!AL6)),1,0),"")</f>
        <v/>
      </c>
    </row>
    <row r="33" customFormat="false" ht="15" hidden="false" customHeight="false" outlineLevel="0" collapsed="false">
      <c r="T33" s="0" t="str">
        <f aca="false">IF(AND(COUNTBLANK('Run 1'!J4:P9)=0,COUNTBLANK('Run 2'!J4:P9)=0,COUNTBLANK('Run 3'!J4:P9)=0,COUNTBLANK('Run 4'!J4:P9)=0,COUNTBLANK('Run 5'!J4:P9)=0),IF(AND(EXACT('Run 2'!AM6,'Run 1'!AM6),EXACT('Run 3'!AM6,'Run 1'!AM6),EXACT('Run 4'!AM6,'Run 1'!AM6),EXACT('Run 5'!AM6,'Run 1'!AM6)),1,0),"")</f>
        <v/>
      </c>
    </row>
    <row r="34" customFormat="false" ht="15" hidden="false" customHeight="false" outlineLevel="0" collapsed="false">
      <c r="T34" s="0" t="str">
        <f aca="false">IF(AND(COUNTBLANK('Run 1'!J4:P9)=0,COUNTBLANK('Run 2'!J4:P9)=0,COUNTBLANK('Run 3'!J4:P9)=0,COUNTBLANK('Run 4'!J4:P9)=0,COUNTBLANK('Run 5'!J4:P9)=0),IF(AND(EXACT('Run 2'!AN6,'Run 1'!AN6),EXACT('Run 3'!AN6,'Run 1'!AN6),EXACT('Run 4'!AN6,'Run 1'!AN6),EXACT('Run 5'!AN6,'Run 1'!AN6)),1,0),"")</f>
        <v/>
      </c>
    </row>
    <row r="35" customFormat="false" ht="15" hidden="false" customHeight="false" outlineLevel="0" collapsed="false">
      <c r="T35" s="0" t="str">
        <f aca="false">IF(AND(COUNTBLANK('Run 1'!J4:P9)=0,COUNTBLANK('Run 2'!J4:P9)=0,COUNTBLANK('Run 3'!J4:P9)=0,COUNTBLANK('Run 4'!J4:P9)=0,COUNTBLANK('Run 5'!J4:P9)=0),IF(AND(EXACT('Run 2'!AO6,'Run 1'!AO6),EXACT('Run 3'!AO6,'Run 1'!AO6),EXACT('Run 4'!AO6,'Run 1'!AO6),EXACT('Run 5'!AO6,'Run 1'!AO6)),1,0),"")</f>
        <v/>
      </c>
    </row>
    <row r="36" customFormat="false" ht="15" hidden="false" customHeight="false" outlineLevel="0" collapsed="false">
      <c r="T36" s="0" t="str">
        <f aca="false">IF(AND(COUNTBLANK('Run 1'!J4:P9)=0,COUNTBLANK('Run 2'!J4:P9)=0,COUNTBLANK('Run 3'!J4:P9)=0,COUNTBLANK('Run 4'!J4:P9)=0,COUNTBLANK('Run 5'!J4:P9)=0),IF(AND(EXACT('Run 2'!AP6,'Run 1'!AP6),EXACT('Run 3'!AP6,'Run 1'!AP6),EXACT('Run 4'!AP6,'Run 1'!AP6),EXACT('Run 5'!AP6,'Run 1'!AP6)),1,0),"")</f>
        <v/>
      </c>
    </row>
    <row r="37" customFormat="false" ht="15" hidden="false" customHeight="false" outlineLevel="0" collapsed="false">
      <c r="T37" s="0" t="str">
        <f aca="false">IF(AND(COUNTBLANK('Run 1'!J4:P9)=0,COUNTBLANK('Run 2'!J4:P9)=0,COUNTBLANK('Run 3'!J4:P9)=0,COUNTBLANK('Run 4'!J4:P9)=0,COUNTBLANK('Run 5'!J4:P9)=0),IF(AND(EXACT('Run 2'!AQ6,'Run 1'!AQ6),EXACT('Run 3'!AQ6,'Run 1'!AQ6),EXACT('Run 4'!AQ6,'Run 1'!AQ6),EXACT('Run 5'!AQ6,'Run 1'!AQ6)),1,0),"")</f>
        <v/>
      </c>
    </row>
    <row r="38" customFormat="false" ht="15" hidden="false" customHeight="false" outlineLevel="0" collapsed="false">
      <c r="T38" s="0" t="str">
        <f aca="false">IF(AND(COUNTBLANK('Run 1'!J4:P9)=0,COUNTBLANK('Run 2'!J4:P9)=0,COUNTBLANK('Run 3'!J4:P9)=0,COUNTBLANK('Run 4'!J4:P9)=0,COUNTBLANK('Run 5'!J4:P9)=0),IF(AND(EXACT('Run 2'!AK7,'Run 1'!AK7),EXACT('Run 3'!AK7,'Run 1'!AK7),EXACT('Run 4'!AK7,'Run 1'!AK7),EXACT('Run 5'!AK7,'Run 1'!AK7)),1,0),"")</f>
        <v/>
      </c>
    </row>
    <row r="39" customFormat="false" ht="15" hidden="false" customHeight="false" outlineLevel="0" collapsed="false">
      <c r="T39" s="0" t="str">
        <f aca="false">IF(AND(COUNTBLANK('Run 1'!J4:P9)=0,COUNTBLANK('Run 2'!J4:P9)=0,COUNTBLANK('Run 3'!J4:P9)=0,COUNTBLANK('Run 4'!J4:P9)=0,COUNTBLANK('Run 5'!J4:P9)=0),IF(AND(EXACT('Run 2'!AL7,'Run 1'!AL7),EXACT('Run 3'!AL7,'Run 1'!AL7),EXACT('Run 4'!AL7,'Run 1'!AL7),EXACT('Run 5'!AL7,'Run 1'!AL7)),1,0),"")</f>
        <v/>
      </c>
    </row>
    <row r="40" customFormat="false" ht="15" hidden="false" customHeight="false" outlineLevel="0" collapsed="false">
      <c r="T40" s="0" t="str">
        <f aca="false">IF(AND(COUNTBLANK('Run 1'!J4:P9)=0,COUNTBLANK('Run 2'!J4:P9)=0,COUNTBLANK('Run 3'!J4:P9)=0,COUNTBLANK('Run 4'!J4:P9)=0,COUNTBLANK('Run 5'!J4:P9)=0),IF(AND(EXACT('Run 2'!AM7,'Run 1'!AM7),EXACT('Run 3'!AM7,'Run 1'!AM7),EXACT('Run 4'!AM7,'Run 1'!AM7),EXACT('Run 5'!AM7,'Run 1'!AM7)),1,0),"")</f>
        <v/>
      </c>
    </row>
    <row r="41" customFormat="false" ht="15" hidden="false" customHeight="false" outlineLevel="0" collapsed="false">
      <c r="T41" s="0" t="str">
        <f aca="false">IF(AND(COUNTBLANK('Run 1'!J4:P9)=0,COUNTBLANK('Run 2'!J4:P9)=0,COUNTBLANK('Run 3'!J4:P9)=0,COUNTBLANK('Run 4'!J4:P9)=0,COUNTBLANK('Run 5'!J4:P9)=0),IF(AND(EXACT('Run 2'!AN7,'Run 1'!AN7),EXACT('Run 3'!AN7,'Run 1'!AN7),EXACT('Run 4'!AN7,'Run 1'!AN7),EXACT('Run 5'!AN7,'Run 1'!AN7)),1,0),"")</f>
        <v/>
      </c>
    </row>
    <row r="42" customFormat="false" ht="15" hidden="false" customHeight="false" outlineLevel="0" collapsed="false">
      <c r="T42" s="0" t="str">
        <f aca="false">IF(AND(COUNTBLANK('Run 1'!J4:P9)=0,COUNTBLANK('Run 2'!J4:P9)=0,COUNTBLANK('Run 3'!J4:P9)=0,COUNTBLANK('Run 4'!J4:P9)=0,COUNTBLANK('Run 5'!J4:P9)=0),IF(AND(EXACT('Run 2'!AO7,'Run 1'!AO7),EXACT('Run 3'!AO7,'Run 1'!AO7),EXACT('Run 4'!AO7,'Run 1'!AO7),EXACT('Run 5'!AO7,'Run 1'!AO7)),1,0),"")</f>
        <v/>
      </c>
    </row>
    <row r="43" customFormat="false" ht="15" hidden="false" customHeight="false" outlineLevel="0" collapsed="false">
      <c r="T43" s="0" t="str">
        <f aca="false">IF(AND(COUNTBLANK('Run 1'!J4:P9)=0,COUNTBLANK('Run 2'!J4:P9)=0,COUNTBLANK('Run 3'!J4:P9)=0,COUNTBLANK('Run 4'!J4:P9)=0,COUNTBLANK('Run 5'!J4:P9)=0),IF(AND(EXACT('Run 2'!AP7,'Run 1'!AP7),EXACT('Run 3'!AP7,'Run 1'!AP7),EXACT('Run 4'!AP7,'Run 1'!AP7),EXACT('Run 5'!AP7,'Run 1'!AP7)),1,0),"")</f>
        <v/>
      </c>
    </row>
    <row r="44" customFormat="false" ht="15" hidden="false" customHeight="false" outlineLevel="0" collapsed="false">
      <c r="T44" s="0" t="str">
        <f aca="false">IF(AND(COUNTBLANK('Run 1'!J4:P9)=0,COUNTBLANK('Run 2'!J4:P9)=0,COUNTBLANK('Run 3'!J4:P9)=0,COUNTBLANK('Run 4'!J4:P9)=0,COUNTBLANK('Run 5'!J4:P9)=0),IF(AND(EXACT('Run 2'!AQ7,'Run 1'!AQ7),EXACT('Run 3'!AQ7,'Run 1'!AQ7),EXACT('Run 4'!AQ7,'Run 1'!AQ7),EXACT('Run 5'!AQ7,'Run 1'!AQ7)),1,0),"")</f>
        <v/>
      </c>
    </row>
    <row r="45" customFormat="false" ht="15" hidden="false" customHeight="false" outlineLevel="0" collapsed="false">
      <c r="T45" s="0" t="str">
        <f aca="false">IF(AND(COUNTBLANK('Run 1'!J4:P9)=0,COUNTBLANK('Run 2'!J4:P9)=0,COUNTBLANK('Run 3'!J4:P9)=0,COUNTBLANK('Run 4'!J4:P9)=0,COUNTBLANK('Run 5'!J4:P9)=0),IF(AND(EXACT('Run 2'!AK8,'Run 1'!AK8),EXACT('Run 3'!AK8,'Run 1'!AK8),EXACT('Run 4'!AK8,'Run 1'!AK8),EXACT('Run 5'!AK8,'Run 1'!AK8)),1,0),"")</f>
        <v/>
      </c>
    </row>
    <row r="46" customFormat="false" ht="15" hidden="false" customHeight="false" outlineLevel="0" collapsed="false">
      <c r="T46" s="0" t="str">
        <f aca="false">IF(AND(COUNTBLANK('Run 1'!J4:P9)=0,COUNTBLANK('Run 2'!J4:P9)=0,COUNTBLANK('Run 3'!J4:P9)=0,COUNTBLANK('Run 4'!J4:P9)=0,COUNTBLANK('Run 5'!J4:P9)=0),IF(AND(EXACT('Run 2'!AL8,'Run 1'!AL8),EXACT('Run 3'!AL8,'Run 1'!AL8),EXACT('Run 4'!AL8,'Run 1'!AL8),EXACT('Run 5'!AL8,'Run 1'!AL8)),1,0),"")</f>
        <v/>
      </c>
    </row>
    <row r="47" customFormat="false" ht="15" hidden="false" customHeight="false" outlineLevel="0" collapsed="false">
      <c r="T47" s="0" t="str">
        <f aca="false">IF(AND(COUNTBLANK('Run 1'!J4:P9)=0,COUNTBLANK('Run 2'!J4:P9)=0,COUNTBLANK('Run 3'!J4:P9)=0,COUNTBLANK('Run 4'!J4:P9)=0,COUNTBLANK('Run 5'!J4:P9)=0),IF(AND(EXACT('Run 2'!AM8,'Run 1'!AM8),EXACT('Run 3'!AM8,'Run 1'!AM8),EXACT('Run 4'!AM8,'Run 1'!AM8),EXACT('Run 5'!AM8,'Run 1'!AM8)),1,0),"")</f>
        <v/>
      </c>
    </row>
    <row r="48" customFormat="false" ht="15" hidden="false" customHeight="false" outlineLevel="0" collapsed="false">
      <c r="T48" s="0" t="str">
        <f aca="false">IF(AND(COUNTBLANK('Run 1'!J4:P9)=0,COUNTBLANK('Run 2'!J4:P9)=0,COUNTBLANK('Run 3'!J4:P9)=0,COUNTBLANK('Run 4'!J4:P9)=0,COUNTBLANK('Run 5'!J4:P9)=0),IF(AND(EXACT('Run 2'!AN8,'Run 1'!AN8),EXACT('Run 3'!AN8,'Run 1'!AN8),EXACT('Run 4'!AN8,'Run 1'!AN8),EXACT('Run 5'!AN8,'Run 1'!AN8)),1,0),"")</f>
        <v/>
      </c>
    </row>
    <row r="49" customFormat="false" ht="15" hidden="false" customHeight="false" outlineLevel="0" collapsed="false">
      <c r="T49" s="0" t="str">
        <f aca="false">IF(AND(COUNTBLANK('Run 1'!J4:P9)=0,COUNTBLANK('Run 2'!J4:P9)=0,COUNTBLANK('Run 3'!J4:P9)=0,COUNTBLANK('Run 4'!J4:P9)=0,COUNTBLANK('Run 5'!J4:P9)=0),IF(AND(EXACT('Run 2'!AO8,'Run 1'!AO8),EXACT('Run 3'!AO8,'Run 1'!AO8),EXACT('Run 4'!AO8,'Run 1'!AO8),EXACT('Run 5'!AO8,'Run 1'!AO8)),1,0),"")</f>
        <v/>
      </c>
    </row>
    <row r="50" customFormat="false" ht="15" hidden="false" customHeight="false" outlineLevel="0" collapsed="false">
      <c r="T50" s="0" t="str">
        <f aca="false">IF(AND(COUNTBLANK('Run 1'!J4:P9)=0,COUNTBLANK('Run 2'!J4:P9)=0,COUNTBLANK('Run 3'!J4:P9)=0,COUNTBLANK('Run 4'!J4:P9)=0,COUNTBLANK('Run 5'!J4:P9)=0),IF(AND(EXACT('Run 2'!AP8,'Run 1'!AP8),EXACT('Run 3'!AP8,'Run 1'!AP8),EXACT('Run 4'!AP8,'Run 1'!AP8),EXACT('Run 5'!AP8,'Run 1'!AP8)),1,0),"")</f>
        <v/>
      </c>
    </row>
    <row r="51" customFormat="false" ht="15" hidden="false" customHeight="false" outlineLevel="0" collapsed="false">
      <c r="T51" s="0" t="str">
        <f aca="false">IF(AND(COUNTBLANK('Run 1'!J4:P9)=0,COUNTBLANK('Run 2'!J4:P9)=0,COUNTBLANK('Run 3'!J4:P9)=0,COUNTBLANK('Run 4'!J4:P9)=0,COUNTBLANK('Run 5'!J4:P9)=0),IF(AND(EXACT('Run 2'!AQ8,'Run 1'!AQ8),EXACT('Run 3'!AQ8,'Run 1'!AQ8),EXACT('Run 4'!AQ8,'Run 1'!AQ8),EXACT('Run 5'!AQ8,'Run 1'!AQ8)),1,0),"")</f>
        <v/>
      </c>
    </row>
    <row r="52" customFormat="false" ht="15" hidden="false" customHeight="false" outlineLevel="0" collapsed="false">
      <c r="T52" s="0" t="str">
        <f aca="false">IF(AND(COUNTBLANK('Run 1'!J4:P9)=0,COUNTBLANK('Run 2'!J4:P9)=0,COUNTBLANK('Run 3'!J4:P9)=0,COUNTBLANK('Run 4'!J4:P9)=0,COUNTBLANK('Run 5'!J4:P9)=0),IF(AND(EXACT('Run 2'!AK9,'Run 1'!AK9),EXACT('Run 3'!AK9,'Run 1'!AK9),EXACT('Run 4'!AK9,'Run 1'!AK9),EXACT('Run 5'!AK9,'Run 1'!AK9)),1,0),"")</f>
        <v/>
      </c>
    </row>
    <row r="53" customFormat="false" ht="15" hidden="false" customHeight="false" outlineLevel="0" collapsed="false">
      <c r="T53" s="0" t="str">
        <f aca="false">IF(AND(COUNTBLANK('Run 1'!J4:P9)=0,COUNTBLANK('Run 2'!J4:P9)=0,COUNTBLANK('Run 3'!J4:P9)=0,COUNTBLANK('Run 4'!J4:P9)=0,COUNTBLANK('Run 5'!J4:P9)=0),IF(AND(EXACT('Run 2'!AL9,'Run 1'!AL9),EXACT('Run 3'!AL9,'Run 1'!AL9),EXACT('Run 4'!AL9,'Run 1'!AL9),EXACT('Run 5'!AL9,'Run 1'!AL9)),1,0),"")</f>
        <v/>
      </c>
    </row>
    <row r="54" customFormat="false" ht="15" hidden="false" customHeight="false" outlineLevel="0" collapsed="false">
      <c r="T54" s="0" t="str">
        <f aca="false">IF(AND(COUNTBLANK('Run 1'!J4:P9)=0,COUNTBLANK('Run 2'!J4:P9)=0,COUNTBLANK('Run 3'!J4:P9)=0,COUNTBLANK('Run 4'!J4:P9)=0,COUNTBLANK('Run 5'!J4:P9)=0),IF(AND(EXACT('Run 2'!AM9,'Run 1'!AM9),EXACT('Run 3'!AM9,'Run 1'!AM9),EXACT('Run 4'!AM9,'Run 1'!AM9),EXACT('Run 5'!AM9,'Run 1'!AM9)),1,0),"")</f>
        <v/>
      </c>
    </row>
    <row r="55" customFormat="false" ht="15" hidden="false" customHeight="false" outlineLevel="0" collapsed="false">
      <c r="T55" s="0" t="str">
        <f aca="false">IF(AND(COUNTBLANK('Run 1'!J4:P9)=0,COUNTBLANK('Run 2'!J4:P9)=0,COUNTBLANK('Run 3'!J4:P9)=0,COUNTBLANK('Run 4'!J4:P9)=0,COUNTBLANK('Run 5'!J4:P9)=0),IF(AND(EXACT('Run 2'!AN9,'Run 1'!AN9),EXACT('Run 3'!AN9,'Run 1'!AN9),EXACT('Run 4'!AN9,'Run 1'!AN9),EXACT('Run 5'!AN9,'Run 1'!AN9)),1,0),"")</f>
        <v/>
      </c>
    </row>
    <row r="56" customFormat="false" ht="15" hidden="false" customHeight="false" outlineLevel="0" collapsed="false">
      <c r="T56" s="0" t="str">
        <f aca="false">IF(AND(COUNTBLANK('Run 1'!J4:P9)=0,COUNTBLANK('Run 2'!J4:P9)=0,COUNTBLANK('Run 3'!J4:P9)=0,COUNTBLANK('Run 4'!J4:P9)=0,COUNTBLANK('Run 5'!J4:P9)=0),IF(AND(EXACT('Run 2'!AO9,'Run 1'!AO9),EXACT('Run 3'!AO9,'Run 1'!AO9),EXACT('Run 4'!AO9,'Run 1'!AO9),EXACT('Run 5'!AO9,'Run 1'!AO9)),1,0),"")</f>
        <v/>
      </c>
    </row>
    <row r="57" customFormat="false" ht="15" hidden="false" customHeight="false" outlineLevel="0" collapsed="false">
      <c r="T57" s="0" t="str">
        <f aca="false">IF(AND(COUNTBLANK('Run 1'!J4:P9)=0,COUNTBLANK('Run 2'!J4:P9)=0,COUNTBLANK('Run 3'!J4:P9)=0,COUNTBLANK('Run 4'!J4:P9)=0,COUNTBLANK('Run 5'!J4:P9)=0),IF(AND(EXACT('Run 2'!AP9,'Run 1'!AP9),EXACT('Run 3'!AP9,'Run 1'!AP9),EXACT('Run 4'!AP9,'Run 1'!AP9),EXACT('Run 5'!AP9,'Run 1'!AP9)),1,0),"")</f>
        <v/>
      </c>
    </row>
    <row r="58" customFormat="false" ht="15" hidden="false" customHeight="false" outlineLevel="0" collapsed="false">
      <c r="T58" s="0" t="str">
        <f aca="false">IF(AND(COUNTBLANK('Run 1'!J4:P9)=0,COUNTBLANK('Run 2'!J4:P9)=0,COUNTBLANK('Run 3'!J4:P9)=0,COUNTBLANK('Run 4'!J4:P9)=0,COUNTBLANK('Run 5'!J4:P9)=0),IF(AND(EXACT('Run 2'!AQ9,'Run 1'!AQ9),EXACT('Run 3'!AQ9,'Run 1'!AQ9),EXACT('Run 4'!AQ9,'Run 1'!AQ9),EXACT('Run 5'!AQ9,'Run 1'!AQ9)),1,0),"")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en-AU</dc:language>
  <cp:lastModifiedBy/>
  <cp:revision>0</cp:revision>
  <dc:subject/>
  <dc:title/>
</cp:coreProperties>
</file>